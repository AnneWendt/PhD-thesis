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autuni-my.sharepoint.com/personal/em165153_aut_ac_nz/Documents/Documents/projects/NZSL/combined/"/>
    </mc:Choice>
  </mc:AlternateContent>
  <xr:revisionPtr revIDLastSave="91" documentId="8_{84DD99B3-892A-4684-B515-650BB8D7E216}" xr6:coauthVersionLast="45" xr6:coauthVersionMax="45" xr10:uidLastSave="{5A18708A-6D60-4D61-B5D2-3C656CFB067D}"/>
  <bookViews>
    <workbookView xWindow="-5025" yWindow="-18120" windowWidth="29040" windowHeight="18240" tabRatio="702" xr2:uid="{687C6A88-D522-468A-A0E3-1BE6A59765FD}"/>
  </bookViews>
  <sheets>
    <sheet name="summary" sheetId="4" r:id="rId1"/>
    <sheet name="visualisation" sheetId="10" r:id="rId2"/>
    <sheet name="mni_by_4_combined" sheetId="1" r:id="rId3"/>
    <sheet name="mni_by_4_audio" sheetId="6" r:id="rId4"/>
    <sheet name="mni_by_4_video" sheetId="7" r:id="rId5"/>
    <sheet name="tal_by_8_combined" sheetId="2" r:id="rId6"/>
    <sheet name="tal_by_8_audio" sheetId="8" r:id="rId7"/>
    <sheet name="tal_by_8_video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" i="10" l="1"/>
  <c r="T4" i="10"/>
  <c r="T5" i="10"/>
  <c r="T7" i="10"/>
  <c r="T2" i="10"/>
  <c r="S6" i="10"/>
  <c r="S8" i="10" s="1"/>
  <c r="R6" i="10"/>
  <c r="R8" i="10" s="1"/>
  <c r="Q6" i="10"/>
  <c r="Q8" i="10" s="1"/>
  <c r="P6" i="10"/>
  <c r="P8" i="10" s="1"/>
  <c r="O6" i="10"/>
  <c r="O8" i="10" s="1"/>
  <c r="N6" i="10"/>
  <c r="N8" i="10" s="1"/>
  <c r="M6" i="10"/>
  <c r="M8" i="10" s="1"/>
  <c r="L6" i="10"/>
  <c r="L8" i="10" s="1"/>
  <c r="K6" i="10"/>
  <c r="K8" i="10" s="1"/>
  <c r="J6" i="10"/>
  <c r="J8" i="10" s="1"/>
  <c r="I6" i="10"/>
  <c r="I8" i="10" s="1"/>
  <c r="H6" i="10"/>
  <c r="H8" i="10" s="1"/>
  <c r="G6" i="10"/>
  <c r="G8" i="10" s="1"/>
  <c r="F6" i="10"/>
  <c r="F8" i="10" s="1"/>
  <c r="E6" i="10"/>
  <c r="E8" i="10" s="1"/>
  <c r="D6" i="10"/>
  <c r="D8" i="10" s="1"/>
  <c r="C6" i="10"/>
  <c r="C8" i="10" s="1"/>
  <c r="B6" i="10"/>
  <c r="B8" i="10" s="1"/>
  <c r="T6" i="10" l="1"/>
  <c r="T8" i="10" s="1"/>
  <c r="T4" i="4"/>
  <c r="T6" i="4"/>
  <c r="T9" i="4"/>
  <c r="T11" i="4"/>
  <c r="S33" i="9" l="1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S32" i="9"/>
  <c r="S10" i="4" s="1"/>
  <c r="R32" i="9"/>
  <c r="R10" i="4" s="1"/>
  <c r="Q32" i="9"/>
  <c r="Q10" i="4" s="1"/>
  <c r="P32" i="9"/>
  <c r="P10" i="4" s="1"/>
  <c r="O32" i="9"/>
  <c r="O10" i="4" s="1"/>
  <c r="N32" i="9"/>
  <c r="N10" i="4" s="1"/>
  <c r="M32" i="9"/>
  <c r="M10" i="4" s="1"/>
  <c r="L32" i="9"/>
  <c r="L10" i="4" s="1"/>
  <c r="K32" i="9"/>
  <c r="K10" i="4" s="1"/>
  <c r="J32" i="9"/>
  <c r="J10" i="4" s="1"/>
  <c r="I32" i="9"/>
  <c r="I10" i="4" s="1"/>
  <c r="H32" i="9"/>
  <c r="H10" i="4" s="1"/>
  <c r="G32" i="9"/>
  <c r="G10" i="4" s="1"/>
  <c r="F32" i="9"/>
  <c r="F10" i="4" s="1"/>
  <c r="E32" i="9"/>
  <c r="E10" i="4" s="1"/>
  <c r="D32" i="9"/>
  <c r="D10" i="4" s="1"/>
  <c r="C32" i="9"/>
  <c r="C10" i="4" s="1"/>
  <c r="B32" i="9"/>
  <c r="B10" i="4" s="1"/>
  <c r="T10" i="4" s="1"/>
  <c r="T15" i="4" s="1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S32" i="8"/>
  <c r="S8" i="4" s="1"/>
  <c r="R32" i="8"/>
  <c r="R8" i="4" s="1"/>
  <c r="Q32" i="8"/>
  <c r="Q8" i="4" s="1"/>
  <c r="P32" i="8"/>
  <c r="P8" i="4" s="1"/>
  <c r="O32" i="8"/>
  <c r="O8" i="4" s="1"/>
  <c r="N32" i="8"/>
  <c r="N8" i="4" s="1"/>
  <c r="M32" i="8"/>
  <c r="M8" i="4" s="1"/>
  <c r="L32" i="8"/>
  <c r="L8" i="4" s="1"/>
  <c r="K32" i="8"/>
  <c r="K8" i="4" s="1"/>
  <c r="J32" i="8"/>
  <c r="J8" i="4" s="1"/>
  <c r="I32" i="8"/>
  <c r="I8" i="4" s="1"/>
  <c r="H32" i="8"/>
  <c r="H8" i="4" s="1"/>
  <c r="G32" i="8"/>
  <c r="G8" i="4" s="1"/>
  <c r="F32" i="8"/>
  <c r="F8" i="4" s="1"/>
  <c r="E32" i="8"/>
  <c r="E8" i="4" s="1"/>
  <c r="D32" i="8"/>
  <c r="D8" i="4" s="1"/>
  <c r="C32" i="8"/>
  <c r="C8" i="4" s="1"/>
  <c r="B32" i="8"/>
  <c r="B8" i="4" s="1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S32" i="7"/>
  <c r="S5" i="4" s="1"/>
  <c r="R32" i="7"/>
  <c r="R5" i="4" s="1"/>
  <c r="Q32" i="7"/>
  <c r="Q5" i="4" s="1"/>
  <c r="P32" i="7"/>
  <c r="P5" i="4" s="1"/>
  <c r="O32" i="7"/>
  <c r="O5" i="4" s="1"/>
  <c r="N32" i="7"/>
  <c r="N5" i="4" s="1"/>
  <c r="M32" i="7"/>
  <c r="M5" i="4" s="1"/>
  <c r="L32" i="7"/>
  <c r="L5" i="4" s="1"/>
  <c r="K32" i="7"/>
  <c r="K5" i="4" s="1"/>
  <c r="J32" i="7"/>
  <c r="J5" i="4" s="1"/>
  <c r="I32" i="7"/>
  <c r="I5" i="4" s="1"/>
  <c r="H32" i="7"/>
  <c r="H5" i="4" s="1"/>
  <c r="G32" i="7"/>
  <c r="G5" i="4" s="1"/>
  <c r="F32" i="7"/>
  <c r="F5" i="4" s="1"/>
  <c r="E32" i="7"/>
  <c r="E5" i="4" s="1"/>
  <c r="D32" i="7"/>
  <c r="D5" i="4" s="1"/>
  <c r="C32" i="7"/>
  <c r="C5" i="4" s="1"/>
  <c r="B32" i="7"/>
  <c r="B5" i="4" s="1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S32" i="6"/>
  <c r="S3" i="4" s="1"/>
  <c r="R32" i="6"/>
  <c r="R3" i="4" s="1"/>
  <c r="Q32" i="6"/>
  <c r="Q3" i="4" s="1"/>
  <c r="P32" i="6"/>
  <c r="P3" i="4" s="1"/>
  <c r="O32" i="6"/>
  <c r="O3" i="4" s="1"/>
  <c r="N32" i="6"/>
  <c r="N3" i="4" s="1"/>
  <c r="M32" i="6"/>
  <c r="M3" i="4" s="1"/>
  <c r="L32" i="6"/>
  <c r="L3" i="4" s="1"/>
  <c r="K32" i="6"/>
  <c r="K3" i="4" s="1"/>
  <c r="J32" i="6"/>
  <c r="J3" i="4" s="1"/>
  <c r="I32" i="6"/>
  <c r="I3" i="4" s="1"/>
  <c r="H32" i="6"/>
  <c r="H3" i="4" s="1"/>
  <c r="G32" i="6"/>
  <c r="G3" i="4" s="1"/>
  <c r="F32" i="6"/>
  <c r="F3" i="4" s="1"/>
  <c r="E32" i="6"/>
  <c r="E3" i="4" s="1"/>
  <c r="D32" i="6"/>
  <c r="D3" i="4" s="1"/>
  <c r="C32" i="6"/>
  <c r="C3" i="4" s="1"/>
  <c r="B32" i="6"/>
  <c r="B3" i="4" s="1"/>
  <c r="T3" i="4" l="1"/>
  <c r="T8" i="4"/>
  <c r="T5" i="4"/>
  <c r="T14" i="4" s="1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S32" i="2"/>
  <c r="S7" i="4" s="1"/>
  <c r="R32" i="2"/>
  <c r="R7" i="4" s="1"/>
  <c r="Q32" i="2"/>
  <c r="Q7" i="4" s="1"/>
  <c r="P32" i="2"/>
  <c r="P7" i="4" s="1"/>
  <c r="O32" i="2"/>
  <c r="O7" i="4" s="1"/>
  <c r="N32" i="2"/>
  <c r="N7" i="4" s="1"/>
  <c r="M32" i="2"/>
  <c r="M7" i="4" s="1"/>
  <c r="L32" i="2"/>
  <c r="L7" i="4" s="1"/>
  <c r="K32" i="2"/>
  <c r="K7" i="4" s="1"/>
  <c r="J32" i="2"/>
  <c r="J7" i="4" s="1"/>
  <c r="I32" i="2"/>
  <c r="I7" i="4" s="1"/>
  <c r="H32" i="2"/>
  <c r="H7" i="4" s="1"/>
  <c r="G32" i="2"/>
  <c r="G7" i="4" s="1"/>
  <c r="F32" i="2"/>
  <c r="F7" i="4" s="1"/>
  <c r="E32" i="2"/>
  <c r="E7" i="4" s="1"/>
  <c r="D32" i="2"/>
  <c r="D7" i="4" s="1"/>
  <c r="C32" i="2"/>
  <c r="C7" i="4" s="1"/>
  <c r="B32" i="2"/>
  <c r="B7" i="4" s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S32" i="1"/>
  <c r="S2" i="4" s="1"/>
  <c r="R32" i="1"/>
  <c r="R2" i="4" s="1"/>
  <c r="Q32" i="1"/>
  <c r="Q2" i="4" s="1"/>
  <c r="P32" i="1"/>
  <c r="P2" i="4" s="1"/>
  <c r="O32" i="1"/>
  <c r="O2" i="4" s="1"/>
  <c r="N32" i="1"/>
  <c r="N2" i="4" s="1"/>
  <c r="M32" i="1"/>
  <c r="M2" i="4" s="1"/>
  <c r="L32" i="1"/>
  <c r="L2" i="4" s="1"/>
  <c r="K32" i="1"/>
  <c r="K2" i="4" s="1"/>
  <c r="J32" i="1"/>
  <c r="J2" i="4" s="1"/>
  <c r="I32" i="1"/>
  <c r="I2" i="4" s="1"/>
  <c r="H32" i="1"/>
  <c r="H2" i="4" s="1"/>
  <c r="G32" i="1"/>
  <c r="G2" i="4" s="1"/>
  <c r="F32" i="1"/>
  <c r="F2" i="4" s="1"/>
  <c r="E32" i="1"/>
  <c r="E2" i="4" s="1"/>
  <c r="D32" i="1"/>
  <c r="D2" i="4" s="1"/>
  <c r="C32" i="1"/>
  <c r="C2" i="4" s="1"/>
  <c r="B32" i="1"/>
  <c r="B2" i="4" s="1"/>
  <c r="T7" i="4" l="1"/>
  <c r="T2" i="4"/>
</calcChain>
</file>

<file path=xl/sharedStrings.xml><?xml version="1.0" encoding="utf-8"?>
<sst xmlns="http://schemas.openxmlformats.org/spreadsheetml/2006/main" count="424" uniqueCount="100">
  <si>
    <t>lif_001</t>
  </si>
  <si>
    <t>lif_002</t>
  </si>
  <si>
    <t>lif_003</t>
  </si>
  <si>
    <t>lif_004</t>
  </si>
  <si>
    <t>lif_005</t>
  </si>
  <si>
    <t>lif_006</t>
  </si>
  <si>
    <t>lif_007</t>
  </si>
  <si>
    <t>lif_008</t>
  </si>
  <si>
    <t>lif_009</t>
  </si>
  <si>
    <t>lif_010</t>
  </si>
  <si>
    <t>lif_015</t>
  </si>
  <si>
    <t>lif_020</t>
  </si>
  <si>
    <t>lif_025</t>
  </si>
  <si>
    <t>lif_030</t>
  </si>
  <si>
    <t>lif_035</t>
  </si>
  <si>
    <t>lif_040</t>
  </si>
  <si>
    <t>lif_045</t>
  </si>
  <si>
    <t>lif_050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</si>
  <si>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</si>
  <si>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</si>
  <si>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</si>
  <si>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</si>
  <si>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</si>
  <si>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</si>
  <si>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</si>
  <si>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</si>
  <si>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</si>
  <si>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</si>
  <si>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</si>
  <si>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</si>
  <si>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</si>
  <si>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</si>
  <si>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</si>
  <si>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</si>
  <si>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</si>
  <si>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</si>
  <si>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</si>
  <si>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</si>
  <si>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</si>
  <si>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</si>
  <si>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</si>
  <si>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Run 24</t>
  </si>
  <si>
    <t>Run 25</t>
  </si>
  <si>
    <t>Run 26</t>
  </si>
  <si>
    <t>Run 27</t>
  </si>
  <si>
    <t>Run 28</t>
  </si>
  <si>
    <t>Run 29</t>
  </si>
  <si>
    <t>Run 30</t>
  </si>
  <si>
    <t>Mean</t>
  </si>
  <si>
    <t>Std dev</t>
  </si>
  <si>
    <t>Size</t>
  </si>
  <si>
    <t>0.01</t>
  </si>
  <si>
    <t>0.02</t>
  </si>
  <si>
    <t>0.03</t>
  </si>
  <si>
    <t>0.04</t>
  </si>
  <si>
    <t>0.05</t>
  </si>
  <si>
    <t>0.06</t>
  </si>
  <si>
    <t>0.07</t>
  </si>
  <si>
    <t>0.08</t>
  </si>
  <si>
    <t>0.09</t>
  </si>
  <si>
    <t>0.10</t>
  </si>
  <si>
    <t>0.15</t>
  </si>
  <si>
    <t>0.20</t>
  </si>
  <si>
    <t>0.25</t>
  </si>
  <si>
    <t>0.30</t>
  </si>
  <si>
    <t>0.35</t>
  </si>
  <si>
    <t>0.40</t>
  </si>
  <si>
    <t>0.45</t>
  </si>
  <si>
    <t>0.50</t>
  </si>
  <si>
    <t>MNI by 4 audio</t>
  </si>
  <si>
    <t>MNI by 4 video</t>
  </si>
  <si>
    <t>Talairach by 8 video</t>
  </si>
  <si>
    <t>Talairach by 8 audio</t>
  </si>
  <si>
    <t>from Python Scripts/Jackson</t>
  </si>
  <si>
    <t>from JESTER/optimised</t>
  </si>
  <si>
    <t>mni_by_4 audio</t>
  </si>
  <si>
    <t>mni_by_4 combined</t>
  </si>
  <si>
    <t>mni_by_4 video</t>
  </si>
  <si>
    <t>tal_by_8 combined</t>
  </si>
  <si>
    <t>tal_by_8 audio</t>
  </si>
  <si>
    <t>tal_by_8 video</t>
  </si>
  <si>
    <t>combined NZSL</t>
  </si>
  <si>
    <t>spoken words Google</t>
  </si>
  <si>
    <t>my sign videos</t>
  </si>
  <si>
    <t>mine - JESTER</t>
  </si>
  <si>
    <t>TAL</t>
  </si>
  <si>
    <t>MNI</t>
  </si>
  <si>
    <t>MNI by 4 combined</t>
  </si>
  <si>
    <t>Talairach by 8 combined</t>
  </si>
  <si>
    <t>MNI_by_4 audio</t>
  </si>
  <si>
    <t>MNI_by_4 video</t>
  </si>
  <si>
    <t>MNI_by_4 combined</t>
  </si>
  <si>
    <t>TAL_by_8 audio</t>
  </si>
  <si>
    <t>TAL_by_8 video</t>
  </si>
  <si>
    <t>TAL_by_8 combined</t>
  </si>
  <si>
    <t>MNI_by_4</t>
  </si>
  <si>
    <t>audio</t>
  </si>
  <si>
    <t>video</t>
  </si>
  <si>
    <t>combined</t>
  </si>
  <si>
    <t>TAL_by_8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</si>
</sst>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Garamond"/>
      <family val="1"/>
    </font>
    <font>
      <sz val="11"/>
      <color theme="1"/>
      <name val="Garamond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/>
    <xf numFmtId="0" fontId="1" fillId="0" borderId="0" xfId="0" applyFont="1"/>
    <xf numFmtId="0" fontId="3" fillId="0" borderId="0" xfId="0" applyFont="1"/>
    <xf numFmtId="0" fontId="0" fillId="0" borderId="0" xfId="0" applyFont="1"/>
    <xf numFmtId="0" fontId="0" fillId="0" borderId="0" xfId="0" applyFont="1" applyBorder="1"/>
    <xf numFmtId="0" fontId="4" fillId="0" borderId="0" xfId="0" applyFont="1"/>
    <xf numFmtId="10" fontId="4" fillId="0" borderId="0" xfId="1" applyNumberFormat="1" applyFont="1"/>
    <xf numFmtId="0" fontId="0" fillId="0" borderId="0" xfId="0" applyAlignment="1">
      <alignment horizontal="center"/>
    </xf>
    <xf numFmtId="0" fontId="5" fillId="0" borderId="0" xfId="0" applyFont="1"/>
    <xf numFmtId="164" fontId="5" fillId="0" borderId="0" xfId="0" applyNumberFormat="1" applyFont="1"/>
    <xf numFmtId="10" fontId="5" fillId="0" borderId="0" xfId="1" applyNumberFormat="1" applyFont="1"/>
  </cellXfs>
  <cellStyles count="2">
    <cellStyle name="Prozent" xfId="1" builtinId="5"/>
    <cellStyle name="Standard" xfId="0" builtinId="0"/>
  </cellStyles>
  <dxfs count="2"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de-DE" sz="1800" cap="none" baseline="0"/>
              <a:t>Experiments on NZSL Dataset</a:t>
            </a:r>
            <a:r>
              <a:rPr lang="en-NZ" sz="1800" b="1" i="0" u="none" strike="noStrike" cap="none" normalizeH="0" baseline="0">
                <a:effectLst/>
              </a:rPr>
              <a:t> – </a:t>
            </a:r>
            <a:r>
              <a:rPr lang="de-DE" sz="1800" cap="none" baseline="0"/>
              <a:t>Cross-Validation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summary!$A$3</c:f>
              <c:strCache>
                <c:ptCount val="1"/>
                <c:pt idx="0">
                  <c:v>MNI by 4 audio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  <a:round/>
              </a:ln>
              <a:effectLst/>
            </c:spPr>
          </c:marker>
          <c:val>
            <c:numRef>
              <c:f>summary!$B$3:$S$3</c:f>
              <c:numCache>
                <c:formatCode>General</c:formatCode>
                <c:ptCount val="18"/>
                <c:pt idx="0">
                  <c:v>0.46793923833333328</c:v>
                </c:pt>
                <c:pt idx="1">
                  <c:v>0.47765072166666667</c:v>
                </c:pt>
                <c:pt idx="2">
                  <c:v>0.49909809533333349</c:v>
                </c:pt>
                <c:pt idx="3">
                  <c:v>0.5165277983333334</c:v>
                </c:pt>
                <c:pt idx="4">
                  <c:v>0.53158045933333342</c:v>
                </c:pt>
                <c:pt idx="5">
                  <c:v>0.54793055533333346</c:v>
                </c:pt>
                <c:pt idx="6">
                  <c:v>0.54485586899999994</c:v>
                </c:pt>
                <c:pt idx="7">
                  <c:v>0.54819827500000007</c:v>
                </c:pt>
                <c:pt idx="8">
                  <c:v>0.57041656300000021</c:v>
                </c:pt>
                <c:pt idx="9">
                  <c:v>0.57745337566666666</c:v>
                </c:pt>
                <c:pt idx="10">
                  <c:v>0.56592434899999988</c:v>
                </c:pt>
                <c:pt idx="11">
                  <c:v>0.50585674066666664</c:v>
                </c:pt>
                <c:pt idx="12">
                  <c:v>0.48568304766666665</c:v>
                </c:pt>
                <c:pt idx="13">
                  <c:v>0.48188411133333342</c:v>
                </c:pt>
                <c:pt idx="14">
                  <c:v>0.45595732766666669</c:v>
                </c:pt>
                <c:pt idx="15">
                  <c:v>0.43271179899999995</c:v>
                </c:pt>
                <c:pt idx="16">
                  <c:v>0.44189510599999998</c:v>
                </c:pt>
                <c:pt idx="17">
                  <c:v>0.43458089400000005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C-4B69-9994-EB423B031EA3}"/>
            </c:ext>
          </c:extLst>
        </c:ser>
        <c:ser>
          <c:idx val="7"/>
          <c:order val="1"/>
          <c:tx>
            <c:strRef>
              <c:f>summary!$A$5</c:f>
              <c:strCache>
                <c:ptCount val="1"/>
                <c:pt idx="0">
                  <c:v>MNI by 4 video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val>
            <c:numRef>
              <c:f>summary!$B$5:$S$5</c:f>
              <c:numCache>
                <c:formatCode>General</c:formatCode>
                <c:ptCount val="18"/>
                <c:pt idx="0">
                  <c:v>0.710030151</c:v>
                </c:pt>
                <c:pt idx="1">
                  <c:v>0.70583819933333336</c:v>
                </c:pt>
                <c:pt idx="2">
                  <c:v>0.74004089666666661</c:v>
                </c:pt>
                <c:pt idx="3">
                  <c:v>0.7466634723333333</c:v>
                </c:pt>
                <c:pt idx="4">
                  <c:v>0.74619031566666671</c:v>
                </c:pt>
                <c:pt idx="5">
                  <c:v>0.75880068600000006</c:v>
                </c:pt>
                <c:pt idx="6">
                  <c:v>0.75907586800000015</c:v>
                </c:pt>
                <c:pt idx="7">
                  <c:v>0.75100755633333316</c:v>
                </c:pt>
                <c:pt idx="8">
                  <c:v>0.7544256749999998</c:v>
                </c:pt>
                <c:pt idx="9">
                  <c:v>0.74868640433333311</c:v>
                </c:pt>
                <c:pt idx="10">
                  <c:v>0.72734734633333342</c:v>
                </c:pt>
                <c:pt idx="11">
                  <c:v>0.71417526466666659</c:v>
                </c:pt>
                <c:pt idx="12">
                  <c:v>0.70259440166666665</c:v>
                </c:pt>
                <c:pt idx="13">
                  <c:v>0.68635847966666641</c:v>
                </c:pt>
                <c:pt idx="14">
                  <c:v>0.6871237939999999</c:v>
                </c:pt>
                <c:pt idx="15">
                  <c:v>0.68671740499999989</c:v>
                </c:pt>
                <c:pt idx="16">
                  <c:v>0.69025640766666641</c:v>
                </c:pt>
                <c:pt idx="17">
                  <c:v>0.68286423333333357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C-4B69-9994-EB423B031EA3}"/>
            </c:ext>
          </c:extLst>
        </c:ser>
        <c:ser>
          <c:idx val="0"/>
          <c:order val="2"/>
          <c:tx>
            <c:strRef>
              <c:f>summary!$A$2</c:f>
              <c:strCache>
                <c:ptCount val="1"/>
                <c:pt idx="0">
                  <c:v>MNI by 4 combined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summary!$B$2:$S$2</c:f>
              <c:numCache>
                <c:formatCode>General</c:formatCode>
                <c:ptCount val="18"/>
                <c:pt idx="0">
                  <c:v>0.55004761866666674</c:v>
                </c:pt>
                <c:pt idx="1">
                  <c:v>0.62470599933333326</c:v>
                </c:pt>
                <c:pt idx="2">
                  <c:v>0.62537816499999999</c:v>
                </c:pt>
                <c:pt idx="3">
                  <c:v>0.65603381399999994</c:v>
                </c:pt>
                <c:pt idx="4">
                  <c:v>0.67242654233333332</c:v>
                </c:pt>
                <c:pt idx="5">
                  <c:v>0.68031559733333336</c:v>
                </c:pt>
                <c:pt idx="6">
                  <c:v>0.70162843500000016</c:v>
                </c:pt>
                <c:pt idx="7">
                  <c:v>0.69947061533333321</c:v>
                </c:pt>
                <c:pt idx="8">
                  <c:v>0.7106031306666668</c:v>
                </c:pt>
                <c:pt idx="9">
                  <c:v>0.72386775399999992</c:v>
                </c:pt>
                <c:pt idx="10">
                  <c:v>0.73022259900000031</c:v>
                </c:pt>
                <c:pt idx="11">
                  <c:v>0.71043780233333342</c:v>
                </c:pt>
                <c:pt idx="12">
                  <c:v>0.71241498300000017</c:v>
                </c:pt>
                <c:pt idx="13">
                  <c:v>0.69690859199999999</c:v>
                </c:pt>
                <c:pt idx="14">
                  <c:v>0.69053420999999982</c:v>
                </c:pt>
                <c:pt idx="15">
                  <c:v>0.67730815666666688</c:v>
                </c:pt>
                <c:pt idx="16">
                  <c:v>0.67783006333333318</c:v>
                </c:pt>
                <c:pt idx="17">
                  <c:v>0.66403331133333332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0-4283-8CA3-E159343D0AC4}"/>
            </c:ext>
          </c:extLst>
        </c:ser>
        <c:ser>
          <c:idx val="8"/>
          <c:order val="5"/>
          <c:tx>
            <c:strRef>
              <c:f>summary!$A$8</c:f>
              <c:strCache>
                <c:ptCount val="1"/>
                <c:pt idx="0">
                  <c:v>Talairach by 8 audio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rgbClr val="00B0F0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summary!$B$8:$S$8</c:f>
              <c:numCache>
                <c:formatCode>General</c:formatCode>
                <c:ptCount val="18"/>
                <c:pt idx="0">
                  <c:v>0.45942443066666655</c:v>
                </c:pt>
                <c:pt idx="1">
                  <c:v>0.47443601033333338</c:v>
                </c:pt>
                <c:pt idx="2">
                  <c:v>0.46595871566666669</c:v>
                </c:pt>
                <c:pt idx="3">
                  <c:v>0.43372895400000006</c:v>
                </c:pt>
                <c:pt idx="4">
                  <c:v>0.48857256199999999</c:v>
                </c:pt>
                <c:pt idx="5">
                  <c:v>0.506221272</c:v>
                </c:pt>
                <c:pt idx="6">
                  <c:v>0.52518231999999998</c:v>
                </c:pt>
                <c:pt idx="7">
                  <c:v>0.53619994166666662</c:v>
                </c:pt>
                <c:pt idx="8">
                  <c:v>0.56198293733333327</c:v>
                </c:pt>
                <c:pt idx="9">
                  <c:v>0.57931324766666659</c:v>
                </c:pt>
                <c:pt idx="10">
                  <c:v>0.6018618423333334</c:v>
                </c:pt>
                <c:pt idx="11">
                  <c:v>0.55515577100000013</c:v>
                </c:pt>
                <c:pt idx="12">
                  <c:v>0.5409881763333334</c:v>
                </c:pt>
                <c:pt idx="13">
                  <c:v>0.52340428466666666</c:v>
                </c:pt>
                <c:pt idx="14">
                  <c:v>0.50127162433333328</c:v>
                </c:pt>
                <c:pt idx="15">
                  <c:v>0.48697806733333332</c:v>
                </c:pt>
                <c:pt idx="16">
                  <c:v>0.47113764900000005</c:v>
                </c:pt>
                <c:pt idx="17">
                  <c:v>0.44622682233333333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C-4B69-9994-EB423B031EA3}"/>
            </c:ext>
          </c:extLst>
        </c:ser>
        <c:ser>
          <c:idx val="9"/>
          <c:order val="6"/>
          <c:tx>
            <c:strRef>
              <c:f>summary!$A$10</c:f>
              <c:strCache>
                <c:ptCount val="1"/>
                <c:pt idx="0">
                  <c:v>Talairach by 8 video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val>
            <c:numRef>
              <c:f>summary!$B$10:$S$10</c:f>
              <c:numCache>
                <c:formatCode>General</c:formatCode>
                <c:ptCount val="18"/>
                <c:pt idx="0">
                  <c:v>0.72041527833333363</c:v>
                </c:pt>
                <c:pt idx="1">
                  <c:v>0.7098097143333334</c:v>
                </c:pt>
                <c:pt idx="2">
                  <c:v>0.78428540533333346</c:v>
                </c:pt>
                <c:pt idx="3">
                  <c:v>0.76020369599999993</c:v>
                </c:pt>
                <c:pt idx="4">
                  <c:v>0.76795398400000014</c:v>
                </c:pt>
                <c:pt idx="5">
                  <c:v>0.77799258866666665</c:v>
                </c:pt>
                <c:pt idx="6">
                  <c:v>0.79124732133333331</c:v>
                </c:pt>
                <c:pt idx="7">
                  <c:v>0.79457947000000018</c:v>
                </c:pt>
                <c:pt idx="8">
                  <c:v>0.77384915199999993</c:v>
                </c:pt>
                <c:pt idx="9">
                  <c:v>0.79484398699999992</c:v>
                </c:pt>
                <c:pt idx="10">
                  <c:v>0.77593136233333315</c:v>
                </c:pt>
                <c:pt idx="11">
                  <c:v>0.78495786233333331</c:v>
                </c:pt>
                <c:pt idx="12">
                  <c:v>0.7723276206666666</c:v>
                </c:pt>
                <c:pt idx="13">
                  <c:v>0.76572093933333329</c:v>
                </c:pt>
                <c:pt idx="14">
                  <c:v>0.7361108616666665</c:v>
                </c:pt>
                <c:pt idx="15">
                  <c:v>0.72260348233333349</c:v>
                </c:pt>
                <c:pt idx="16">
                  <c:v>0.71171809599999991</c:v>
                </c:pt>
                <c:pt idx="17">
                  <c:v>0.70870415533333331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C-4B69-9994-EB423B031EA3}"/>
            </c:ext>
          </c:extLst>
        </c:ser>
        <c:ser>
          <c:idx val="2"/>
          <c:order val="7"/>
          <c:tx>
            <c:strRef>
              <c:f>summary!$A$7</c:f>
              <c:strCache>
                <c:ptCount val="1"/>
                <c:pt idx="0">
                  <c:v>Talairach by 8 combined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1"/>
              </a:solidFill>
              <a:ln w="9525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</c:marker>
          <c:val>
            <c:numRef>
              <c:f>summary!$B$7:$S$7</c:f>
              <c:numCache>
                <c:formatCode>General</c:formatCode>
                <c:ptCount val="18"/>
                <c:pt idx="0">
                  <c:v>0.50104165266666678</c:v>
                </c:pt>
                <c:pt idx="1">
                  <c:v>0.48538619533333338</c:v>
                </c:pt>
                <c:pt idx="2">
                  <c:v>0.49149326866666682</c:v>
                </c:pt>
                <c:pt idx="3">
                  <c:v>0.48566991033333351</c:v>
                </c:pt>
                <c:pt idx="4">
                  <c:v>0.61956396200000008</c:v>
                </c:pt>
                <c:pt idx="5">
                  <c:v>0.65824313833333326</c:v>
                </c:pt>
                <c:pt idx="6">
                  <c:v>0.68881617333333345</c:v>
                </c:pt>
                <c:pt idx="7">
                  <c:v>0.69612624400000012</c:v>
                </c:pt>
                <c:pt idx="8">
                  <c:v>0.69565604933333358</c:v>
                </c:pt>
                <c:pt idx="9">
                  <c:v>0.71016926866666663</c:v>
                </c:pt>
                <c:pt idx="10">
                  <c:v>0.75591569266666681</c:v>
                </c:pt>
                <c:pt idx="11">
                  <c:v>0.74504248633333325</c:v>
                </c:pt>
                <c:pt idx="12">
                  <c:v>0.7590358586666669</c:v>
                </c:pt>
                <c:pt idx="13">
                  <c:v>0.76284476066666651</c:v>
                </c:pt>
                <c:pt idx="14">
                  <c:v>0.76293060166666693</c:v>
                </c:pt>
                <c:pt idx="15">
                  <c:v>0.74021696333333331</c:v>
                </c:pt>
                <c:pt idx="16">
                  <c:v>0.7351674136666666</c:v>
                </c:pt>
                <c:pt idx="17">
                  <c:v>0.72321346700000011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240-4283-8CA3-E159343D0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4352"/>
        <c:axId val="391317304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summary!$A$4</c15:sqref>
                        </c15:formulaRef>
                      </c:ext>
                    </c:extLst>
                    <c:strCache>
                      <c:ptCount val="1"/>
                      <c:pt idx="0">
                        <c:v>MNI by 4 audio</c:v>
                      </c:pt>
                    </c:strCache>
                  </c:strRef>
                </c:tx>
                <c:spPr>
                  <a:ln w="2540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diamond"/>
                  <c:size val="10"/>
                  <c:spPr>
                    <a:solidFill>
                      <a:schemeClr val="accent4"/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summary!$B$1:$S$1</c15:sqref>
                        </c15:formulaRef>
                      </c:ext>
                    </c:extLst>
                    <c:strCache>
                      <c:ptCount val="18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0.07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0.10</c:v>
                      </c:pt>
                      <c:pt idx="10">
                        <c:v>0.15</c:v>
                      </c:pt>
                      <c:pt idx="11">
                        <c:v>0.20</c:v>
                      </c:pt>
                      <c:pt idx="12">
                        <c:v>0.25</c:v>
                      </c:pt>
                      <c:pt idx="13">
                        <c:v>0.30</c:v>
                      </c:pt>
                      <c:pt idx="14">
                        <c:v>0.35</c:v>
                      </c:pt>
                      <c:pt idx="15">
                        <c:v>0.40</c:v>
                      </c:pt>
                      <c:pt idx="16">
                        <c:v>0.45</c:v>
                      </c:pt>
                      <c:pt idx="17">
                        <c:v>0.50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summary!$B$4:$S$4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0.80187903166666685</c:v>
                      </c:pt>
                      <c:pt idx="1">
                        <c:v>0.87081189899999989</c:v>
                      </c:pt>
                      <c:pt idx="2">
                        <c:v>0.87111610400000006</c:v>
                      </c:pt>
                      <c:pt idx="3">
                        <c:v>0.87698325666666654</c:v>
                      </c:pt>
                      <c:pt idx="4">
                        <c:v>0.87950493399999985</c:v>
                      </c:pt>
                      <c:pt idx="5">
                        <c:v>0.87740560333333328</c:v>
                      </c:pt>
                      <c:pt idx="6">
                        <c:v>0.87902085633333349</c:v>
                      </c:pt>
                      <c:pt idx="7">
                        <c:v>0.88389108699999974</c:v>
                      </c:pt>
                      <c:pt idx="8">
                        <c:v>0.88804117833333329</c:v>
                      </c:pt>
                      <c:pt idx="9">
                        <c:v>0.88804622900000008</c:v>
                      </c:pt>
                      <c:pt idx="10">
                        <c:v>0.88006570200000001</c:v>
                      </c:pt>
                      <c:pt idx="11">
                        <c:v>0.87566619233333343</c:v>
                      </c:pt>
                      <c:pt idx="12">
                        <c:v>0.87211970699999997</c:v>
                      </c:pt>
                      <c:pt idx="13">
                        <c:v>0.87100008466666656</c:v>
                      </c:pt>
                      <c:pt idx="14">
                        <c:v>0.8725092843333333</c:v>
                      </c:pt>
                      <c:pt idx="15">
                        <c:v>0.86947858833333347</c:v>
                      </c:pt>
                      <c:pt idx="16">
                        <c:v>0.8701208583333333</c:v>
                      </c:pt>
                      <c:pt idx="17">
                        <c:v>0.87083480966666671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240-4283-8CA3-E159343D0AC4}"/>
                  </c:ext>
                </c:extLst>
              </c15:ser>
            </c15:filteredLineSeries>
            <c15:filteredLine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summary!$A$6</c15:sqref>
                        </c15:formulaRef>
                      </c:ext>
                    </c:extLst>
                    <c:strCache>
                      <c:ptCount val="1"/>
                      <c:pt idx="0">
                        <c:v>MNI by 4 video</c:v>
                      </c:pt>
                    </c:strCache>
                  </c:strRef>
                </c:tx>
                <c:spPr>
                  <a:ln w="2540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10"/>
                  <c:spPr>
                    <a:solidFill>
                      <a:schemeClr val="accent2">
                        <a:lumMod val="75000"/>
                      </a:schemeClr>
                    </a:solidFill>
                    <a:ln w="9525">
                      <a:solidFill>
                        <a:schemeClr val="accent2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summary!$B$1:$S$1</c15:sqref>
                        </c15:formulaRef>
                      </c:ext>
                    </c:extLst>
                    <c:strCache>
                      <c:ptCount val="18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0.07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0.10</c:v>
                      </c:pt>
                      <c:pt idx="10">
                        <c:v>0.15</c:v>
                      </c:pt>
                      <c:pt idx="11">
                        <c:v>0.20</c:v>
                      </c:pt>
                      <c:pt idx="12">
                        <c:v>0.25</c:v>
                      </c:pt>
                      <c:pt idx="13">
                        <c:v>0.30</c:v>
                      </c:pt>
                      <c:pt idx="14">
                        <c:v>0.35</c:v>
                      </c:pt>
                      <c:pt idx="15">
                        <c:v>0.40</c:v>
                      </c:pt>
                      <c:pt idx="16">
                        <c:v>0.45</c:v>
                      </c:pt>
                      <c:pt idx="17">
                        <c:v>0.50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summary!$B$6:$S$6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0.42708309</c:v>
                      </c:pt>
                      <c:pt idx="1">
                        <c:v>0.45344248733333342</c:v>
                      </c:pt>
                      <c:pt idx="2">
                        <c:v>0.45564056566666672</c:v>
                      </c:pt>
                      <c:pt idx="3">
                        <c:v>0.471604686</c:v>
                      </c:pt>
                      <c:pt idx="4">
                        <c:v>0.47470361566666669</c:v>
                      </c:pt>
                      <c:pt idx="5">
                        <c:v>0.48409394333333339</c:v>
                      </c:pt>
                      <c:pt idx="6">
                        <c:v>0.47859830966666661</c:v>
                      </c:pt>
                      <c:pt idx="7">
                        <c:v>0.4703651330000001</c:v>
                      </c:pt>
                      <c:pt idx="8">
                        <c:v>0.48485547366666665</c:v>
                      </c:pt>
                      <c:pt idx="9">
                        <c:v>0.48475758333333341</c:v>
                      </c:pt>
                      <c:pt idx="10">
                        <c:v>0.48286065866666661</c:v>
                      </c:pt>
                      <c:pt idx="11">
                        <c:v>0.48414745033333334</c:v>
                      </c:pt>
                      <c:pt idx="12">
                        <c:v>0.47955094000000004</c:v>
                      </c:pt>
                      <c:pt idx="13">
                        <c:v>0.47682832866666663</c:v>
                      </c:pt>
                      <c:pt idx="14">
                        <c:v>0.48344155933333322</c:v>
                      </c:pt>
                      <c:pt idx="15">
                        <c:v>0.48546512633333327</c:v>
                      </c:pt>
                      <c:pt idx="16">
                        <c:v>0.48299858466666673</c:v>
                      </c:pt>
                      <c:pt idx="17">
                        <c:v>0.48756173200000003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40-4283-8CA3-E159343D0AC4}"/>
                  </c:ext>
                </c:extLst>
              </c15:ser>
            </c15:filteredLineSeries>
            <c15:filteredLineSeries>
              <c15:ser>
                <c:idx val="4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summary!$A$9</c15:sqref>
                        </c15:formulaRef>
                      </c:ext>
                    </c:extLst>
                    <c:strCache>
                      <c:ptCount val="1"/>
                      <c:pt idx="0">
                        <c:v>Talairach by 8 audio</c:v>
                      </c:pt>
                    </c:strCache>
                  </c:strRef>
                </c:tx>
                <c:spPr>
                  <a:ln w="25400" cap="rnd">
                    <a:solidFill>
                      <a:srgbClr val="00B0F0"/>
                    </a:solidFill>
                    <a:round/>
                  </a:ln>
                  <a:effectLst/>
                </c:spPr>
                <c:marker>
                  <c:symbol val="triangle"/>
                  <c:size val="10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summary!$B$1:$S$1</c15:sqref>
                        </c15:formulaRef>
                      </c:ext>
                    </c:extLst>
                    <c:strCache>
                      <c:ptCount val="18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0.07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0.10</c:v>
                      </c:pt>
                      <c:pt idx="10">
                        <c:v>0.15</c:v>
                      </c:pt>
                      <c:pt idx="11">
                        <c:v>0.20</c:v>
                      </c:pt>
                      <c:pt idx="12">
                        <c:v>0.25</c:v>
                      </c:pt>
                      <c:pt idx="13">
                        <c:v>0.30</c:v>
                      </c:pt>
                      <c:pt idx="14">
                        <c:v>0.35</c:v>
                      </c:pt>
                      <c:pt idx="15">
                        <c:v>0.40</c:v>
                      </c:pt>
                      <c:pt idx="16">
                        <c:v>0.45</c:v>
                      </c:pt>
                      <c:pt idx="17">
                        <c:v>0.50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summary!$B$9:$S$9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0.78902439033333349</c:v>
                      </c:pt>
                      <c:pt idx="1">
                        <c:v>0.79071944766666646</c:v>
                      </c:pt>
                      <c:pt idx="2">
                        <c:v>0.79220073366666655</c:v>
                      </c:pt>
                      <c:pt idx="3">
                        <c:v>0.80025610333333341</c:v>
                      </c:pt>
                      <c:pt idx="4">
                        <c:v>0.80723415033333334</c:v>
                      </c:pt>
                      <c:pt idx="5">
                        <c:v>0.84754093666666674</c:v>
                      </c:pt>
                      <c:pt idx="6">
                        <c:v>0.86064239266666676</c:v>
                      </c:pt>
                      <c:pt idx="7">
                        <c:v>0.86947766100000001</c:v>
                      </c:pt>
                      <c:pt idx="8">
                        <c:v>0.87287788399999988</c:v>
                      </c:pt>
                      <c:pt idx="9">
                        <c:v>0.87217564300000006</c:v>
                      </c:pt>
                      <c:pt idx="10">
                        <c:v>0.89372797366666701</c:v>
                      </c:pt>
                      <c:pt idx="11">
                        <c:v>0.88737132333333335</c:v>
                      </c:pt>
                      <c:pt idx="12">
                        <c:v>0.87880865766666671</c:v>
                      </c:pt>
                      <c:pt idx="13">
                        <c:v>0.8746294990000002</c:v>
                      </c:pt>
                      <c:pt idx="14">
                        <c:v>0.87448748633333306</c:v>
                      </c:pt>
                      <c:pt idx="15">
                        <c:v>0.87384833766666692</c:v>
                      </c:pt>
                      <c:pt idx="16">
                        <c:v>0.87738275966666679</c:v>
                      </c:pt>
                      <c:pt idx="17">
                        <c:v>0.87589925533333346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40-4283-8CA3-E159343D0AC4}"/>
                  </c:ext>
                </c:extLst>
              </c15:ser>
            </c15:filteredLineSeries>
            <c15:filteredLineSeries>
              <c15:ser>
                <c:idx val="5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summary!$A$11</c15:sqref>
                        </c15:formulaRef>
                      </c:ext>
                    </c:extLst>
                    <c:strCache>
                      <c:ptCount val="1"/>
                      <c:pt idx="0">
                        <c:v>Talairach by 8 video</c:v>
                      </c:pt>
                    </c:strCache>
                  </c:strRef>
                </c:tx>
                <c:spPr>
                  <a:ln w="2540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triangle"/>
                  <c:size val="10"/>
                  <c:spPr>
                    <a:solidFill>
                      <a:schemeClr val="accent1">
                        <a:lumMod val="75000"/>
                      </a:schemeClr>
                    </a:solidFill>
                    <a:ln w="9525">
                      <a:solidFill>
                        <a:schemeClr val="accent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summary!$B$1:$S$1</c15:sqref>
                        </c15:formulaRef>
                      </c:ext>
                    </c:extLst>
                    <c:strCache>
                      <c:ptCount val="18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0.07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0.10</c:v>
                      </c:pt>
                      <c:pt idx="10">
                        <c:v>0.15</c:v>
                      </c:pt>
                      <c:pt idx="11">
                        <c:v>0.20</c:v>
                      </c:pt>
                      <c:pt idx="12">
                        <c:v>0.25</c:v>
                      </c:pt>
                      <c:pt idx="13">
                        <c:v>0.30</c:v>
                      </c:pt>
                      <c:pt idx="14">
                        <c:v>0.35</c:v>
                      </c:pt>
                      <c:pt idx="15">
                        <c:v>0.40</c:v>
                      </c:pt>
                      <c:pt idx="16">
                        <c:v>0.45</c:v>
                      </c:pt>
                      <c:pt idx="17">
                        <c:v>0.50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summary!$B$11:$S$11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0.42105740066666658</c:v>
                      </c:pt>
                      <c:pt idx="1">
                        <c:v>0.41771125633333334</c:v>
                      </c:pt>
                      <c:pt idx="2">
                        <c:v>0.47037557033333333</c:v>
                      </c:pt>
                      <c:pt idx="3">
                        <c:v>0.45725028733333328</c:v>
                      </c:pt>
                      <c:pt idx="4">
                        <c:v>0.46715354200000003</c:v>
                      </c:pt>
                      <c:pt idx="5">
                        <c:v>0.46958853900000003</c:v>
                      </c:pt>
                      <c:pt idx="6">
                        <c:v>0.47558823666666666</c:v>
                      </c:pt>
                      <c:pt idx="7">
                        <c:v>0.48532738633333344</c:v>
                      </c:pt>
                      <c:pt idx="8">
                        <c:v>0.4848187206666667</c:v>
                      </c:pt>
                      <c:pt idx="9">
                        <c:v>0.48947859466666671</c:v>
                      </c:pt>
                      <c:pt idx="10">
                        <c:v>0.49789233766666663</c:v>
                      </c:pt>
                      <c:pt idx="11">
                        <c:v>0.49441768600000013</c:v>
                      </c:pt>
                      <c:pt idx="12">
                        <c:v>0.48555138633333339</c:v>
                      </c:pt>
                      <c:pt idx="13">
                        <c:v>0.498302945</c:v>
                      </c:pt>
                      <c:pt idx="14">
                        <c:v>0.49610732900000004</c:v>
                      </c:pt>
                      <c:pt idx="15">
                        <c:v>0.49193836233333327</c:v>
                      </c:pt>
                      <c:pt idx="16">
                        <c:v>0.49124607133333326</c:v>
                      </c:pt>
                      <c:pt idx="17">
                        <c:v>0.49688060966666669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40-4283-8CA3-E159343D0AC4}"/>
                  </c:ext>
                </c:extLst>
              </c15:ser>
            </c15:filteredLineSeries>
          </c:ext>
        </c:extLst>
      </c:lineChart>
      <c:catAx>
        <c:axId val="39131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Leaky Integrate and Fire Threshold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7304"/>
        <c:crosses val="autoZero"/>
        <c:auto val="1"/>
        <c:lblAlgn val="ctr"/>
        <c:lblOffset val="100"/>
        <c:noMultiLvlLbl val="0"/>
      </c:catAx>
      <c:valAx>
        <c:axId val="391317304"/>
        <c:scaling>
          <c:orientation val="minMax"/>
          <c:min val="0.35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Classification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Garamond" panose="02020404030301010803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11</xdr:row>
      <xdr:rowOff>133351</xdr:rowOff>
    </xdr:from>
    <xdr:to>
      <xdr:col>13</xdr:col>
      <xdr:colOff>438150</xdr:colOff>
      <xdr:row>37</xdr:row>
      <xdr:rowOff>152401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3A42907-4903-43D4-8CFB-86D8A74BF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C7FB3-CBAB-43FD-B999-F22FF8EAF734}">
  <sheetPr codeName="Tabelle1"/>
  <dimension ref="A1:U15"/>
  <sheetViews>
    <sheetView tabSelected="1" workbookViewId="0"/>
  </sheetViews>
  <sheetFormatPr baseColWidth="10" defaultColWidth="11.42578125" defaultRowHeight="15" x14ac:dyDescent="0.25"/>
  <cols>
    <col min="1" max="1" width="18.5703125" bestFit="1" customWidth="1"/>
  </cols>
  <sheetData>
    <row r="1" spans="1:21" x14ac:dyDescent="0.25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48</v>
      </c>
    </row>
    <row r="2" spans="1:21" x14ac:dyDescent="0.25">
      <c r="A2" t="s">
        <v>87</v>
      </c>
      <c r="B2">
        <f>mni_by_4_combined!B32</f>
        <v>0.55004761866666674</v>
      </c>
      <c r="C2">
        <f>mni_by_4_combined!C32</f>
        <v>0.62470599933333326</v>
      </c>
      <c r="D2">
        <f>mni_by_4_combined!D32</f>
        <v>0.62537816499999999</v>
      </c>
      <c r="E2">
        <f>mni_by_4_combined!E32</f>
        <v>0.65603381399999994</v>
      </c>
      <c r="F2">
        <f>mni_by_4_combined!F32</f>
        <v>0.67242654233333332</v>
      </c>
      <c r="G2">
        <f>mni_by_4_combined!G32</f>
        <v>0.68031559733333336</v>
      </c>
      <c r="H2">
        <f>mni_by_4_combined!H32</f>
        <v>0.70162843500000016</v>
      </c>
      <c r="I2">
        <f>mni_by_4_combined!I32</f>
        <v>0.69947061533333321</v>
      </c>
      <c r="J2">
        <f>mni_by_4_combined!J32</f>
        <v>0.7106031306666668</v>
      </c>
      <c r="K2">
        <f>mni_by_4_combined!K32</f>
        <v>0.72386775399999992</v>
      </c>
      <c r="L2" s="1">
        <f>mni_by_4_combined!L32</f>
        <v>0.73022259900000031</v>
      </c>
      <c r="M2">
        <f>mni_by_4_combined!M32</f>
        <v>0.71043780233333342</v>
      </c>
      <c r="N2">
        <f>mni_by_4_combined!N32</f>
        <v>0.71241498300000017</v>
      </c>
      <c r="O2">
        <f>mni_by_4_combined!O32</f>
        <v>0.69690859199999999</v>
      </c>
      <c r="P2">
        <f>mni_by_4_combined!P32</f>
        <v>0.69053420999999982</v>
      </c>
      <c r="Q2">
        <f>mni_by_4_combined!Q32</f>
        <v>0.67730815666666688</v>
      </c>
      <c r="R2">
        <f>mni_by_4_combined!R32</f>
        <v>0.67783006333333318</v>
      </c>
      <c r="S2">
        <f>mni_by_4_combined!S32</f>
        <v>0.66403331133333332</v>
      </c>
      <c r="T2" s="2">
        <f t="shared" ref="T2:T11" si="0">AVERAGE(B2:S2)</f>
        <v>0.6780092994074074</v>
      </c>
      <c r="U2" t="s">
        <v>81</v>
      </c>
    </row>
    <row r="3" spans="1:21" x14ac:dyDescent="0.25">
      <c r="A3" t="s">
        <v>69</v>
      </c>
      <c r="B3">
        <f>mni_by_4_audio!B32</f>
        <v>0.46793923833333328</v>
      </c>
      <c r="C3">
        <f>mni_by_4_audio!C32</f>
        <v>0.47765072166666667</v>
      </c>
      <c r="D3">
        <f>mni_by_4_audio!D32</f>
        <v>0.49909809533333349</v>
      </c>
      <c r="E3">
        <f>mni_by_4_audio!E32</f>
        <v>0.5165277983333334</v>
      </c>
      <c r="F3">
        <f>mni_by_4_audio!F32</f>
        <v>0.53158045933333342</v>
      </c>
      <c r="G3">
        <f>mni_by_4_audio!G32</f>
        <v>0.54793055533333346</v>
      </c>
      <c r="H3">
        <f>mni_by_4_audio!H32</f>
        <v>0.54485586899999994</v>
      </c>
      <c r="I3">
        <f>mni_by_4_audio!I32</f>
        <v>0.54819827500000007</v>
      </c>
      <c r="J3">
        <f>mni_by_4_audio!J32</f>
        <v>0.57041656300000021</v>
      </c>
      <c r="K3">
        <f>mni_by_4_audio!K32</f>
        <v>0.57745337566666666</v>
      </c>
      <c r="L3">
        <f>mni_by_4_audio!L32</f>
        <v>0.56592434899999988</v>
      </c>
      <c r="M3">
        <f>mni_by_4_audio!M32</f>
        <v>0.50585674066666664</v>
      </c>
      <c r="N3">
        <f>mni_by_4_audio!N32</f>
        <v>0.48568304766666665</v>
      </c>
      <c r="O3">
        <f>mni_by_4_audio!O32</f>
        <v>0.48188411133333342</v>
      </c>
      <c r="P3">
        <f>mni_by_4_audio!P32</f>
        <v>0.45595732766666669</v>
      </c>
      <c r="Q3">
        <f>mni_by_4_audio!Q32</f>
        <v>0.43271179899999995</v>
      </c>
      <c r="R3">
        <f>mni_by_4_audio!R32</f>
        <v>0.44189510599999998</v>
      </c>
      <c r="S3">
        <f>mni_by_4_audio!S32</f>
        <v>0.43458089400000005</v>
      </c>
      <c r="T3" s="2">
        <f t="shared" si="0"/>
        <v>0.50478579590740746</v>
      </c>
      <c r="U3" t="s">
        <v>82</v>
      </c>
    </row>
    <row r="4" spans="1:21" x14ac:dyDescent="0.25">
      <c r="A4" t="s">
        <v>69</v>
      </c>
      <c r="B4">
        <v>0.80187903166666685</v>
      </c>
      <c r="C4">
        <v>0.87081189899999989</v>
      </c>
      <c r="D4">
        <v>0.87111610400000006</v>
      </c>
      <c r="E4">
        <v>0.87698325666666654</v>
      </c>
      <c r="F4">
        <v>0.87950493399999985</v>
      </c>
      <c r="G4">
        <v>0.87740560333333328</v>
      </c>
      <c r="H4">
        <v>0.87902085633333349</v>
      </c>
      <c r="I4">
        <v>0.88389108699999974</v>
      </c>
      <c r="J4">
        <v>0.88804117833333329</v>
      </c>
      <c r="K4">
        <v>0.88804622900000008</v>
      </c>
      <c r="L4">
        <v>0.88006570200000001</v>
      </c>
      <c r="M4">
        <v>0.87566619233333343</v>
      </c>
      <c r="N4">
        <v>0.87211970699999997</v>
      </c>
      <c r="O4">
        <v>0.87100008466666656</v>
      </c>
      <c r="P4">
        <v>0.8725092843333333</v>
      </c>
      <c r="Q4">
        <v>0.86947858833333347</v>
      </c>
      <c r="R4">
        <v>0.8701208583333333</v>
      </c>
      <c r="S4">
        <v>0.87083480966666671</v>
      </c>
      <c r="T4" s="3">
        <f t="shared" si="0"/>
        <v>0.87213863366666655</v>
      </c>
      <c r="U4" t="s">
        <v>73</v>
      </c>
    </row>
    <row r="5" spans="1:21" x14ac:dyDescent="0.25">
      <c r="A5" t="s">
        <v>70</v>
      </c>
      <c r="B5">
        <f>mni_by_4_video!B32</f>
        <v>0.710030151</v>
      </c>
      <c r="C5">
        <f>mni_by_4_video!C32</f>
        <v>0.70583819933333336</v>
      </c>
      <c r="D5">
        <f>mni_by_4_video!D32</f>
        <v>0.74004089666666661</v>
      </c>
      <c r="E5">
        <f>mni_by_4_video!E32</f>
        <v>0.7466634723333333</v>
      </c>
      <c r="F5">
        <f>mni_by_4_video!F32</f>
        <v>0.74619031566666671</v>
      </c>
      <c r="G5">
        <f>mni_by_4_video!G32</f>
        <v>0.75880068600000006</v>
      </c>
      <c r="H5">
        <f>mni_by_4_video!H32</f>
        <v>0.75907586800000015</v>
      </c>
      <c r="I5">
        <f>mni_by_4_video!I32</f>
        <v>0.75100755633333316</v>
      </c>
      <c r="J5">
        <f>mni_by_4_video!J32</f>
        <v>0.7544256749999998</v>
      </c>
      <c r="K5">
        <f>mni_by_4_video!K32</f>
        <v>0.74868640433333311</v>
      </c>
      <c r="L5">
        <f>mni_by_4_video!L32</f>
        <v>0.72734734633333342</v>
      </c>
      <c r="M5">
        <f>mni_by_4_video!M32</f>
        <v>0.71417526466666659</v>
      </c>
      <c r="N5">
        <f>mni_by_4_video!N32</f>
        <v>0.70259440166666665</v>
      </c>
      <c r="O5">
        <f>mni_by_4_video!O32</f>
        <v>0.68635847966666641</v>
      </c>
      <c r="P5">
        <f>mni_by_4_video!P32</f>
        <v>0.6871237939999999</v>
      </c>
      <c r="Q5">
        <f>mni_by_4_video!Q32</f>
        <v>0.68671740499999989</v>
      </c>
      <c r="R5">
        <f>mni_by_4_video!R32</f>
        <v>0.69025640766666641</v>
      </c>
      <c r="S5">
        <f>mni_by_4_video!S32</f>
        <v>0.68286423333333357</v>
      </c>
      <c r="T5" s="2">
        <f t="shared" si="0"/>
        <v>0.72212203094444438</v>
      </c>
      <c r="U5" t="s">
        <v>83</v>
      </c>
    </row>
    <row r="6" spans="1:21" x14ac:dyDescent="0.25">
      <c r="A6" t="s">
        <v>70</v>
      </c>
      <c r="B6">
        <v>0.42708309</v>
      </c>
      <c r="C6">
        <v>0.45344248733333342</v>
      </c>
      <c r="D6">
        <v>0.45564056566666672</v>
      </c>
      <c r="E6">
        <v>0.471604686</v>
      </c>
      <c r="F6">
        <v>0.47470361566666669</v>
      </c>
      <c r="G6">
        <v>0.48409394333333339</v>
      </c>
      <c r="H6">
        <v>0.47859830966666661</v>
      </c>
      <c r="I6">
        <v>0.4703651330000001</v>
      </c>
      <c r="J6">
        <v>0.48485547366666665</v>
      </c>
      <c r="K6">
        <v>0.48475758333333341</v>
      </c>
      <c r="L6">
        <v>0.48286065866666661</v>
      </c>
      <c r="M6">
        <v>0.48414745033333334</v>
      </c>
      <c r="N6">
        <v>0.47955094000000004</v>
      </c>
      <c r="O6">
        <v>0.47682832866666663</v>
      </c>
      <c r="P6">
        <v>0.48344155933333322</v>
      </c>
      <c r="Q6">
        <v>0.48546512633333327</v>
      </c>
      <c r="R6">
        <v>0.48299858466666673</v>
      </c>
      <c r="S6">
        <v>0.48756173200000003</v>
      </c>
      <c r="T6" s="3">
        <f t="shared" si="0"/>
        <v>0.47488884820370381</v>
      </c>
      <c r="U6" t="s">
        <v>74</v>
      </c>
    </row>
    <row r="7" spans="1:21" x14ac:dyDescent="0.25">
      <c r="A7" t="s">
        <v>88</v>
      </c>
      <c r="B7">
        <f>tal_by_8_combined!B32</f>
        <v>0.50104165266666678</v>
      </c>
      <c r="C7">
        <f>tal_by_8_combined!C32</f>
        <v>0.48538619533333338</v>
      </c>
      <c r="D7">
        <f>tal_by_8_combined!D32</f>
        <v>0.49149326866666682</v>
      </c>
      <c r="E7">
        <f>tal_by_8_combined!E32</f>
        <v>0.48566991033333351</v>
      </c>
      <c r="F7">
        <f>tal_by_8_combined!F32</f>
        <v>0.61956396200000008</v>
      </c>
      <c r="G7">
        <f>tal_by_8_combined!G32</f>
        <v>0.65824313833333326</v>
      </c>
      <c r="H7">
        <f>tal_by_8_combined!H32</f>
        <v>0.68881617333333345</v>
      </c>
      <c r="I7">
        <f>tal_by_8_combined!I32</f>
        <v>0.69612624400000012</v>
      </c>
      <c r="J7">
        <f>tal_by_8_combined!J32</f>
        <v>0.69565604933333358</v>
      </c>
      <c r="K7">
        <f>tal_by_8_combined!K32</f>
        <v>0.71016926866666663</v>
      </c>
      <c r="L7">
        <f>tal_by_8_combined!L32</f>
        <v>0.75591569266666681</v>
      </c>
      <c r="M7">
        <f>tal_by_8_combined!M32</f>
        <v>0.74504248633333325</v>
      </c>
      <c r="N7">
        <f>tal_by_8_combined!N32</f>
        <v>0.7590358586666669</v>
      </c>
      <c r="O7">
        <f>tal_by_8_combined!O32</f>
        <v>0.76284476066666651</v>
      </c>
      <c r="P7" s="1">
        <f>tal_by_8_combined!P32</f>
        <v>0.76293060166666693</v>
      </c>
      <c r="Q7">
        <f>tal_by_8_combined!Q32</f>
        <v>0.74021696333333331</v>
      </c>
      <c r="R7">
        <f>tal_by_8_combined!R32</f>
        <v>0.7351674136666666</v>
      </c>
      <c r="S7">
        <f>tal_by_8_combined!S32</f>
        <v>0.72321346700000011</v>
      </c>
      <c r="T7" s="2">
        <f t="shared" si="0"/>
        <v>0.66758517259259276</v>
      </c>
      <c r="U7" t="s">
        <v>81</v>
      </c>
    </row>
    <row r="8" spans="1:21" x14ac:dyDescent="0.25">
      <c r="A8" t="s">
        <v>72</v>
      </c>
      <c r="B8">
        <f>tal_by_8_audio!B32</f>
        <v>0.45942443066666655</v>
      </c>
      <c r="C8">
        <f>tal_by_8_audio!C32</f>
        <v>0.47443601033333338</v>
      </c>
      <c r="D8">
        <f>tal_by_8_audio!D32</f>
        <v>0.46595871566666669</v>
      </c>
      <c r="E8">
        <f>tal_by_8_audio!E32</f>
        <v>0.43372895400000006</v>
      </c>
      <c r="F8">
        <f>tal_by_8_audio!F32</f>
        <v>0.48857256199999999</v>
      </c>
      <c r="G8">
        <f>tal_by_8_audio!G32</f>
        <v>0.506221272</v>
      </c>
      <c r="H8">
        <f>tal_by_8_audio!H32</f>
        <v>0.52518231999999998</v>
      </c>
      <c r="I8">
        <f>tal_by_8_audio!I32</f>
        <v>0.53619994166666662</v>
      </c>
      <c r="J8">
        <f>tal_by_8_audio!J32</f>
        <v>0.56198293733333327</v>
      </c>
      <c r="K8">
        <f>tal_by_8_audio!K32</f>
        <v>0.57931324766666659</v>
      </c>
      <c r="L8">
        <f>tal_by_8_audio!L32</f>
        <v>0.6018618423333334</v>
      </c>
      <c r="M8">
        <f>tal_by_8_audio!M32</f>
        <v>0.55515577100000013</v>
      </c>
      <c r="N8">
        <f>tal_by_8_audio!N32</f>
        <v>0.5409881763333334</v>
      </c>
      <c r="O8">
        <f>tal_by_8_audio!O32</f>
        <v>0.52340428466666666</v>
      </c>
      <c r="P8">
        <f>tal_by_8_audio!P32</f>
        <v>0.50127162433333328</v>
      </c>
      <c r="Q8">
        <f>tal_by_8_audio!Q32</f>
        <v>0.48697806733333332</v>
      </c>
      <c r="R8">
        <f>tal_by_8_audio!R32</f>
        <v>0.47113764900000005</v>
      </c>
      <c r="S8">
        <f>tal_by_8_audio!S32</f>
        <v>0.44622682233333333</v>
      </c>
      <c r="T8" s="2">
        <f t="shared" si="0"/>
        <v>0.50878025714814812</v>
      </c>
      <c r="U8" t="s">
        <v>82</v>
      </c>
    </row>
    <row r="9" spans="1:21" x14ac:dyDescent="0.25">
      <c r="A9" t="s">
        <v>72</v>
      </c>
      <c r="B9">
        <v>0.78902439033333349</v>
      </c>
      <c r="C9">
        <v>0.79071944766666646</v>
      </c>
      <c r="D9">
        <v>0.79220073366666655</v>
      </c>
      <c r="E9">
        <v>0.80025610333333341</v>
      </c>
      <c r="F9">
        <v>0.80723415033333334</v>
      </c>
      <c r="G9">
        <v>0.84754093666666674</v>
      </c>
      <c r="H9">
        <v>0.86064239266666676</v>
      </c>
      <c r="I9">
        <v>0.86947766100000001</v>
      </c>
      <c r="J9">
        <v>0.87287788399999988</v>
      </c>
      <c r="K9">
        <v>0.87217564300000006</v>
      </c>
      <c r="L9">
        <v>0.89372797366666701</v>
      </c>
      <c r="M9">
        <v>0.88737132333333335</v>
      </c>
      <c r="N9">
        <v>0.87880865766666671</v>
      </c>
      <c r="O9">
        <v>0.8746294990000002</v>
      </c>
      <c r="P9">
        <v>0.87448748633333306</v>
      </c>
      <c r="Q9">
        <v>0.87384833766666692</v>
      </c>
      <c r="R9">
        <v>0.87738275966666679</v>
      </c>
      <c r="S9">
        <v>0.87589925533333346</v>
      </c>
      <c r="T9" s="3">
        <f t="shared" si="0"/>
        <v>0.85212803529629644</v>
      </c>
      <c r="U9" t="s">
        <v>73</v>
      </c>
    </row>
    <row r="10" spans="1:21" x14ac:dyDescent="0.25">
      <c r="A10" t="s">
        <v>71</v>
      </c>
      <c r="B10">
        <f>tal_by_8_video!B32</f>
        <v>0.72041527833333363</v>
      </c>
      <c r="C10">
        <f>tal_by_8_video!C32</f>
        <v>0.7098097143333334</v>
      </c>
      <c r="D10">
        <f>tal_by_8_video!D32</f>
        <v>0.78428540533333346</v>
      </c>
      <c r="E10">
        <f>tal_by_8_video!E32</f>
        <v>0.76020369599999993</v>
      </c>
      <c r="F10">
        <f>tal_by_8_video!F32</f>
        <v>0.76795398400000014</v>
      </c>
      <c r="G10">
        <f>tal_by_8_video!G32</f>
        <v>0.77799258866666665</v>
      </c>
      <c r="H10">
        <f>tal_by_8_video!H32</f>
        <v>0.79124732133333331</v>
      </c>
      <c r="I10">
        <f>tal_by_8_video!I32</f>
        <v>0.79457947000000018</v>
      </c>
      <c r="J10">
        <f>tal_by_8_video!J32</f>
        <v>0.77384915199999993</v>
      </c>
      <c r="K10">
        <f>tal_by_8_video!K32</f>
        <v>0.79484398699999992</v>
      </c>
      <c r="L10">
        <f>tal_by_8_video!L32</f>
        <v>0.77593136233333315</v>
      </c>
      <c r="M10">
        <f>tal_by_8_video!M32</f>
        <v>0.78495786233333331</v>
      </c>
      <c r="N10">
        <f>tal_by_8_video!N32</f>
        <v>0.7723276206666666</v>
      </c>
      <c r="O10">
        <f>tal_by_8_video!O32</f>
        <v>0.76572093933333329</v>
      </c>
      <c r="P10">
        <f>tal_by_8_video!P32</f>
        <v>0.7361108616666665</v>
      </c>
      <c r="Q10">
        <f>tal_by_8_video!Q32</f>
        <v>0.72260348233333349</v>
      </c>
      <c r="R10">
        <f>tal_by_8_video!R32</f>
        <v>0.71171809599999991</v>
      </c>
      <c r="S10">
        <f>tal_by_8_video!S32</f>
        <v>0.70870415533333331</v>
      </c>
      <c r="T10" s="2">
        <f t="shared" si="0"/>
        <v>0.75851416538888894</v>
      </c>
      <c r="U10" t="s">
        <v>83</v>
      </c>
    </row>
    <row r="11" spans="1:21" x14ac:dyDescent="0.25">
      <c r="A11" t="s">
        <v>71</v>
      </c>
      <c r="B11">
        <v>0.42105740066666658</v>
      </c>
      <c r="C11">
        <v>0.41771125633333334</v>
      </c>
      <c r="D11">
        <v>0.47037557033333333</v>
      </c>
      <c r="E11">
        <v>0.45725028733333328</v>
      </c>
      <c r="F11">
        <v>0.46715354200000003</v>
      </c>
      <c r="G11">
        <v>0.46958853900000003</v>
      </c>
      <c r="H11">
        <v>0.47558823666666666</v>
      </c>
      <c r="I11">
        <v>0.48532738633333344</v>
      </c>
      <c r="J11">
        <v>0.4848187206666667</v>
      </c>
      <c r="K11">
        <v>0.48947859466666671</v>
      </c>
      <c r="L11">
        <v>0.49789233766666663</v>
      </c>
      <c r="M11">
        <v>0.49441768600000013</v>
      </c>
      <c r="N11">
        <v>0.48555138633333339</v>
      </c>
      <c r="O11">
        <v>0.498302945</v>
      </c>
      <c r="P11">
        <v>0.49610732900000004</v>
      </c>
      <c r="Q11">
        <v>0.49193836233333327</v>
      </c>
      <c r="R11">
        <v>0.49124607133333326</v>
      </c>
      <c r="S11">
        <v>0.49688060966666669</v>
      </c>
      <c r="T11" s="3">
        <f t="shared" si="0"/>
        <v>0.47726034785185184</v>
      </c>
      <c r="U11" t="s">
        <v>74</v>
      </c>
    </row>
    <row r="14" spans="1:21" x14ac:dyDescent="0.25">
      <c r="R14" t="s">
        <v>86</v>
      </c>
      <c r="S14" t="s">
        <v>84</v>
      </c>
      <c r="T14">
        <f>T5-T6</f>
        <v>0.24723318274074058</v>
      </c>
    </row>
    <row r="15" spans="1:21" x14ac:dyDescent="0.25">
      <c r="R15" t="s">
        <v>85</v>
      </c>
      <c r="S15" t="s">
        <v>84</v>
      </c>
      <c r="T15">
        <f>T10-T11</f>
        <v>0.2812538175370371</v>
      </c>
    </row>
  </sheetData>
  <conditionalFormatting sqref="T2:T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S2 B7:S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S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S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S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S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S2">
    <cfRule type="top10" dxfId="1" priority="2" rank="3"/>
  </conditionalFormatting>
  <conditionalFormatting sqref="B7:S7">
    <cfRule type="top10" dxfId="0" priority="1" rank="3"/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E3E13-C42D-4EEF-AB31-2F609E5014D9}">
  <sheetPr codeName="Tabelle2"/>
  <dimension ref="A1:T40"/>
  <sheetViews>
    <sheetView workbookViewId="0">
      <selection activeCell="K23" sqref="K23:AB54"/>
    </sheetView>
  </sheetViews>
  <sheetFormatPr baseColWidth="10" defaultRowHeight="15" x14ac:dyDescent="0.25"/>
  <sheetData>
    <row r="1" spans="1:20" x14ac:dyDescent="0.25"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</row>
    <row r="2" spans="1:20" x14ac:dyDescent="0.25">
      <c r="A2" t="s">
        <v>89</v>
      </c>
      <c r="B2">
        <v>0.46793923833333328</v>
      </c>
      <c r="C2">
        <v>0.47765072166666667</v>
      </c>
      <c r="D2">
        <v>0.49909809533333349</v>
      </c>
      <c r="E2">
        <v>0.5165277983333334</v>
      </c>
      <c r="F2">
        <v>0.53158045933333342</v>
      </c>
      <c r="G2">
        <v>0.54793055533333346</v>
      </c>
      <c r="H2">
        <v>0.54485586899999994</v>
      </c>
      <c r="I2">
        <v>0.54819827500000007</v>
      </c>
      <c r="J2">
        <v>0.57041656300000021</v>
      </c>
      <c r="K2">
        <v>0.57745337566666666</v>
      </c>
      <c r="L2">
        <v>0.56592434899999988</v>
      </c>
      <c r="M2">
        <v>0.50585674066666664</v>
      </c>
      <c r="N2">
        <v>0.48568304766666665</v>
      </c>
      <c r="O2">
        <v>0.48188411133333342</v>
      </c>
      <c r="P2">
        <v>0.45595732766666669</v>
      </c>
      <c r="Q2">
        <v>0.43271179899999995</v>
      </c>
      <c r="R2">
        <v>0.44189510599999998</v>
      </c>
      <c r="S2">
        <v>0.43458089400000005</v>
      </c>
      <c r="T2">
        <f>AVERAGE(B2:S2)</f>
        <v>0.50478579590740746</v>
      </c>
    </row>
    <row r="3" spans="1:20" x14ac:dyDescent="0.25">
      <c r="A3" t="s">
        <v>90</v>
      </c>
      <c r="B3">
        <v>0.710030151</v>
      </c>
      <c r="C3">
        <v>0.70583819933333336</v>
      </c>
      <c r="D3">
        <v>0.74004089666666661</v>
      </c>
      <c r="E3">
        <v>0.7466634723333333</v>
      </c>
      <c r="F3">
        <v>0.74619031566666671</v>
      </c>
      <c r="G3">
        <v>0.75880068600000006</v>
      </c>
      <c r="H3">
        <v>0.75907586800000015</v>
      </c>
      <c r="I3">
        <v>0.75100755633333316</v>
      </c>
      <c r="J3">
        <v>0.7544256749999998</v>
      </c>
      <c r="K3">
        <v>0.74868640433333311</v>
      </c>
      <c r="L3">
        <v>0.72734734633333342</v>
      </c>
      <c r="M3">
        <v>0.71417526466666659</v>
      </c>
      <c r="N3">
        <v>0.70259440166666665</v>
      </c>
      <c r="O3">
        <v>0.68635847966666641</v>
      </c>
      <c r="P3">
        <v>0.6871237939999999</v>
      </c>
      <c r="Q3">
        <v>0.68671740499999989</v>
      </c>
      <c r="R3">
        <v>0.69025640766666641</v>
      </c>
      <c r="S3">
        <v>0.68286423333333357</v>
      </c>
      <c r="T3">
        <f t="shared" ref="T3:T7" si="0">AVERAGE(B3:S3)</f>
        <v>0.72212203094444438</v>
      </c>
    </row>
    <row r="4" spans="1:20" x14ac:dyDescent="0.25">
      <c r="A4" t="s">
        <v>91</v>
      </c>
      <c r="B4">
        <v>0.55004761866666674</v>
      </c>
      <c r="C4">
        <v>0.62470599933333326</v>
      </c>
      <c r="D4">
        <v>0.62537816499999999</v>
      </c>
      <c r="E4">
        <v>0.65603381399999994</v>
      </c>
      <c r="F4">
        <v>0.67242654233333332</v>
      </c>
      <c r="G4">
        <v>0.68031559733333336</v>
      </c>
      <c r="H4">
        <v>0.70162843500000016</v>
      </c>
      <c r="I4">
        <v>0.69947061533333321</v>
      </c>
      <c r="J4">
        <v>0.7106031306666668</v>
      </c>
      <c r="K4" s="4">
        <v>0.72386775399999992</v>
      </c>
      <c r="L4" s="5">
        <v>0.73022259900000031</v>
      </c>
      <c r="M4" s="4">
        <v>0.71043780233333342</v>
      </c>
      <c r="N4" s="4">
        <v>0.71241498300000017</v>
      </c>
      <c r="O4">
        <v>0.69690859199999999</v>
      </c>
      <c r="P4">
        <v>0.69053420999999982</v>
      </c>
      <c r="Q4">
        <v>0.67730815666666688</v>
      </c>
      <c r="R4">
        <v>0.67783006333333318</v>
      </c>
      <c r="S4">
        <v>0.66403331133333332</v>
      </c>
      <c r="T4">
        <f t="shared" si="0"/>
        <v>0.6780092994074074</v>
      </c>
    </row>
    <row r="5" spans="1:20" x14ac:dyDescent="0.25">
      <c r="A5" t="s">
        <v>92</v>
      </c>
      <c r="B5">
        <v>0.45942443066666655</v>
      </c>
      <c r="C5">
        <v>0.47443601033333338</v>
      </c>
      <c r="D5">
        <v>0.46595871566666669</v>
      </c>
      <c r="E5">
        <v>0.43372895400000006</v>
      </c>
      <c r="F5">
        <v>0.48857256199999999</v>
      </c>
      <c r="G5">
        <v>0.506221272</v>
      </c>
      <c r="H5">
        <v>0.52518231999999998</v>
      </c>
      <c r="I5">
        <v>0.53619994166666662</v>
      </c>
      <c r="J5">
        <v>0.56198293733333327</v>
      </c>
      <c r="K5">
        <v>0.57931324766666659</v>
      </c>
      <c r="L5">
        <v>0.6018618423333334</v>
      </c>
      <c r="M5">
        <v>0.55515577100000013</v>
      </c>
      <c r="N5">
        <v>0.5409881763333334</v>
      </c>
      <c r="O5">
        <v>0.52340428466666666</v>
      </c>
      <c r="P5">
        <v>0.50127162433333328</v>
      </c>
      <c r="Q5">
        <v>0.48697806733333332</v>
      </c>
      <c r="R5">
        <v>0.47113764900000005</v>
      </c>
      <c r="S5">
        <v>0.44622682233333333</v>
      </c>
      <c r="T5">
        <f t="shared" si="0"/>
        <v>0.50878025714814812</v>
      </c>
    </row>
    <row r="6" spans="1:20" x14ac:dyDescent="0.25">
      <c r="A6" t="s">
        <v>93</v>
      </c>
      <c r="B6">
        <f>tal_by_8_video!B28</f>
        <v>0.71661238000000005</v>
      </c>
      <c r="C6">
        <f>tal_by_8_video!C28</f>
        <v>0.68296796000000004</v>
      </c>
      <c r="D6">
        <f>tal_by_8_video!D28</f>
        <v>0.80882352999999996</v>
      </c>
      <c r="E6">
        <f>tal_by_8_video!E28</f>
        <v>0.76086957</v>
      </c>
      <c r="F6">
        <f>tal_by_8_video!F28</f>
        <v>0.74803149999999996</v>
      </c>
      <c r="G6">
        <f>tal_by_8_video!G28</f>
        <v>0.80502216000000004</v>
      </c>
      <c r="H6">
        <f>tal_by_8_video!H28</f>
        <v>0.83452210999999998</v>
      </c>
      <c r="I6">
        <f>tal_by_8_video!I28</f>
        <v>0.78947367999999996</v>
      </c>
      <c r="J6">
        <f>tal_by_8_video!J28</f>
        <v>0.77743901999999998</v>
      </c>
      <c r="K6">
        <f>tal_by_8_video!K28</f>
        <v>0.83094555999999997</v>
      </c>
      <c r="L6">
        <f>tal_by_8_video!L28</f>
        <v>0.76923076999999995</v>
      </c>
      <c r="M6">
        <f>tal_by_8_video!M28</f>
        <v>0.78947367999999996</v>
      </c>
      <c r="N6">
        <f>tal_by_8_video!N28</f>
        <v>0.78549849000000005</v>
      </c>
      <c r="O6">
        <f>tal_by_8_video!O28</f>
        <v>0.75663027000000005</v>
      </c>
      <c r="P6">
        <f>tal_by_8_video!P28</f>
        <v>0.66265059999999998</v>
      </c>
      <c r="Q6">
        <f>tal_by_8_video!Q28</f>
        <v>0.70723683999999998</v>
      </c>
      <c r="R6">
        <f>tal_by_8_video!R28</f>
        <v>0.70247934000000001</v>
      </c>
      <c r="S6">
        <f>tal_by_8_video!S28</f>
        <v>0.74803149999999996</v>
      </c>
      <c r="T6">
        <f t="shared" si="0"/>
        <v>0.75977438666666663</v>
      </c>
    </row>
    <row r="7" spans="1:20" x14ac:dyDescent="0.25">
      <c r="A7" t="s">
        <v>94</v>
      </c>
      <c r="B7">
        <v>0.50104165266666678</v>
      </c>
      <c r="C7">
        <v>0.48538619533333338</v>
      </c>
      <c r="D7">
        <v>0.49149326866666682</v>
      </c>
      <c r="E7">
        <v>0.48566991033333351</v>
      </c>
      <c r="F7">
        <v>0.61956396200000008</v>
      </c>
      <c r="G7">
        <v>0.65824313833333326</v>
      </c>
      <c r="H7">
        <v>0.68881617333333345</v>
      </c>
      <c r="I7">
        <v>0.69612624400000012</v>
      </c>
      <c r="J7">
        <v>0.69565604933333358</v>
      </c>
      <c r="K7">
        <v>0.71016926866666663</v>
      </c>
      <c r="L7">
        <v>0.75591569266666681</v>
      </c>
      <c r="M7">
        <v>0.74504248633333325</v>
      </c>
      <c r="N7">
        <v>0.7590358586666669</v>
      </c>
      <c r="O7">
        <v>0.76284476066666651</v>
      </c>
      <c r="P7" s="5">
        <v>0.76293060166666693</v>
      </c>
      <c r="Q7">
        <v>0.74021696333333331</v>
      </c>
      <c r="R7">
        <v>0.7351674136666666</v>
      </c>
      <c r="S7">
        <v>0.72321346700000011</v>
      </c>
      <c r="T7">
        <f t="shared" si="0"/>
        <v>0.66758517259259276</v>
      </c>
    </row>
    <row r="8" spans="1:20" x14ac:dyDescent="0.25">
      <c r="B8">
        <f>AVERAGE(B2:B7)</f>
        <v>0.56751591188888884</v>
      </c>
      <c r="C8">
        <f t="shared" ref="C8:T8" si="1">AVERAGE(C2:C7)</f>
        <v>0.575164181</v>
      </c>
      <c r="D8">
        <f t="shared" si="1"/>
        <v>0.60513211188888893</v>
      </c>
      <c r="E8">
        <f t="shared" si="1"/>
        <v>0.59991558649999999</v>
      </c>
      <c r="F8">
        <f t="shared" si="1"/>
        <v>0.63439422355555564</v>
      </c>
      <c r="G8">
        <f t="shared" si="1"/>
        <v>0.65942223483333329</v>
      </c>
      <c r="H8">
        <f t="shared" si="1"/>
        <v>0.6756801292222222</v>
      </c>
      <c r="I8">
        <f t="shared" si="1"/>
        <v>0.67007938538888878</v>
      </c>
      <c r="J8">
        <f t="shared" si="1"/>
        <v>0.67842056255555561</v>
      </c>
      <c r="K8">
        <f t="shared" si="1"/>
        <v>0.69507260172222207</v>
      </c>
      <c r="L8">
        <f t="shared" si="1"/>
        <v>0.69175043322222229</v>
      </c>
      <c r="M8">
        <f t="shared" si="1"/>
        <v>0.6700236241666665</v>
      </c>
      <c r="N8">
        <f t="shared" si="1"/>
        <v>0.66436915955555564</v>
      </c>
      <c r="O8">
        <f t="shared" si="1"/>
        <v>0.65133841638888879</v>
      </c>
      <c r="P8">
        <f t="shared" si="1"/>
        <v>0.62674469294444446</v>
      </c>
      <c r="Q8">
        <f t="shared" si="1"/>
        <v>0.62186153855555559</v>
      </c>
      <c r="R8">
        <f t="shared" si="1"/>
        <v>0.61979432994444439</v>
      </c>
      <c r="S8">
        <f t="shared" si="1"/>
        <v>0.6164917046666667</v>
      </c>
      <c r="T8">
        <f t="shared" si="1"/>
        <v>0.64017615711111109</v>
      </c>
    </row>
    <row r="11" spans="1:20" x14ac:dyDescent="0.25">
      <c r="B11" t="s">
        <v>51</v>
      </c>
      <c r="C11" t="s">
        <v>52</v>
      </c>
      <c r="D11" t="s">
        <v>53</v>
      </c>
      <c r="E11" t="s">
        <v>54</v>
      </c>
      <c r="F11" t="s">
        <v>55</v>
      </c>
      <c r="G11" t="s">
        <v>56</v>
      </c>
      <c r="H11" t="s">
        <v>57</v>
      </c>
      <c r="I11" t="s">
        <v>58</v>
      </c>
      <c r="J11" t="s">
        <v>59</v>
      </c>
      <c r="K11" t="s">
        <v>60</v>
      </c>
      <c r="L11" t="s">
        <v>61</v>
      </c>
      <c r="M11" t="s">
        <v>62</v>
      </c>
      <c r="N11" t="s">
        <v>63</v>
      </c>
      <c r="O11" t="s">
        <v>64</v>
      </c>
      <c r="P11" t="s">
        <v>65</v>
      </c>
      <c r="Q11" t="s">
        <v>66</v>
      </c>
      <c r="R11" t="s">
        <v>67</v>
      </c>
      <c r="S11" t="s">
        <v>68</v>
      </c>
    </row>
    <row r="12" spans="1:20" x14ac:dyDescent="0.25">
      <c r="A12" t="s">
        <v>89</v>
      </c>
      <c r="B12">
        <v>0.46793923833333328</v>
      </c>
      <c r="C12">
        <v>0.47765072166666667</v>
      </c>
      <c r="D12">
        <v>0.49909809533333349</v>
      </c>
      <c r="E12">
        <v>0.5165277983333334</v>
      </c>
      <c r="F12">
        <v>0.53158045933333342</v>
      </c>
      <c r="G12">
        <v>0.54793055533333346</v>
      </c>
      <c r="H12">
        <v>0.54485586899999994</v>
      </c>
      <c r="I12">
        <v>0.54819827500000007</v>
      </c>
      <c r="J12">
        <v>0.57041656300000021</v>
      </c>
      <c r="K12">
        <v>0.57745337566666666</v>
      </c>
      <c r="L12">
        <v>0.56592434899999988</v>
      </c>
      <c r="M12">
        <v>0.50585674066666664</v>
      </c>
      <c r="N12">
        <v>0.48568304766666665</v>
      </c>
      <c r="O12">
        <v>0.48188411133333342</v>
      </c>
      <c r="P12">
        <v>0.45595732766666669</v>
      </c>
      <c r="Q12">
        <v>0.43271179899999995</v>
      </c>
      <c r="R12">
        <v>0.44189510599999998</v>
      </c>
      <c r="S12">
        <v>0.43458089400000005</v>
      </c>
      <c r="T12">
        <v>0.50478579590740746</v>
      </c>
    </row>
    <row r="13" spans="1:20" x14ac:dyDescent="0.25">
      <c r="A13" t="s">
        <v>90</v>
      </c>
      <c r="B13">
        <v>0.710030151</v>
      </c>
      <c r="C13">
        <v>0.70583819933333336</v>
      </c>
      <c r="D13">
        <v>0.74004089666666661</v>
      </c>
      <c r="E13">
        <v>0.7466634723333333</v>
      </c>
      <c r="F13">
        <v>0.74619031566666671</v>
      </c>
      <c r="G13">
        <v>0.75880068600000006</v>
      </c>
      <c r="H13">
        <v>0.75907586800000015</v>
      </c>
      <c r="I13">
        <v>0.75100755633333316</v>
      </c>
      <c r="J13">
        <v>0.7544256749999998</v>
      </c>
      <c r="K13">
        <v>0.74868640433333311</v>
      </c>
      <c r="L13">
        <v>0.72734734633333342</v>
      </c>
      <c r="M13">
        <v>0.71417526466666659</v>
      </c>
      <c r="N13">
        <v>0.70259440166666665</v>
      </c>
      <c r="O13">
        <v>0.68635847966666641</v>
      </c>
      <c r="P13">
        <v>0.6871237939999999</v>
      </c>
      <c r="Q13">
        <v>0.68671740499999989</v>
      </c>
      <c r="R13">
        <v>0.69025640766666641</v>
      </c>
      <c r="S13">
        <v>0.68286423333333357</v>
      </c>
      <c r="T13">
        <v>0.72212203094444438</v>
      </c>
    </row>
    <row r="14" spans="1:20" x14ac:dyDescent="0.25">
      <c r="A14" t="s">
        <v>91</v>
      </c>
      <c r="B14">
        <v>0.55004761866666674</v>
      </c>
      <c r="C14">
        <v>0.62470599933333326</v>
      </c>
      <c r="D14">
        <v>0.62537816499999999</v>
      </c>
      <c r="E14">
        <v>0.65603381399999994</v>
      </c>
      <c r="F14">
        <v>0.67242654233333332</v>
      </c>
      <c r="G14">
        <v>0.68031559733333336</v>
      </c>
      <c r="H14">
        <v>0.70162843500000016</v>
      </c>
      <c r="I14">
        <v>0.69947061533333321</v>
      </c>
      <c r="J14">
        <v>0.7106031306666668</v>
      </c>
      <c r="K14">
        <v>0.72386775399999992</v>
      </c>
      <c r="L14">
        <v>0.73022259900000031</v>
      </c>
      <c r="M14">
        <v>0.71043780233333342</v>
      </c>
      <c r="N14">
        <v>0.71241498300000017</v>
      </c>
      <c r="O14">
        <v>0.69690859199999999</v>
      </c>
      <c r="P14">
        <v>0.69053420999999982</v>
      </c>
      <c r="Q14">
        <v>0.67730815666666688</v>
      </c>
      <c r="R14">
        <v>0.67783006333333318</v>
      </c>
      <c r="S14">
        <v>0.66403331133333332</v>
      </c>
      <c r="T14">
        <v>0.6780092994074074</v>
      </c>
    </row>
    <row r="15" spans="1:20" x14ac:dyDescent="0.25">
      <c r="A15" t="s">
        <v>92</v>
      </c>
      <c r="B15">
        <v>0.45942443066666655</v>
      </c>
      <c r="C15">
        <v>0.47443601033333338</v>
      </c>
      <c r="D15">
        <v>0.46595871566666669</v>
      </c>
      <c r="E15">
        <v>0.43372895400000006</v>
      </c>
      <c r="F15">
        <v>0.48857256199999999</v>
      </c>
      <c r="G15">
        <v>0.506221272</v>
      </c>
      <c r="H15">
        <v>0.52518231999999998</v>
      </c>
      <c r="I15">
        <v>0.53619994166666662</v>
      </c>
      <c r="J15">
        <v>0.56198293733333327</v>
      </c>
      <c r="K15">
        <v>0.57931324766666659</v>
      </c>
      <c r="L15">
        <v>0.6018618423333334</v>
      </c>
      <c r="M15">
        <v>0.55515577100000013</v>
      </c>
      <c r="N15">
        <v>0.5409881763333334</v>
      </c>
      <c r="O15">
        <v>0.52340428466666666</v>
      </c>
      <c r="P15">
        <v>0.50127162433333328</v>
      </c>
      <c r="Q15">
        <v>0.48697806733333332</v>
      </c>
      <c r="R15">
        <v>0.47113764900000005</v>
      </c>
      <c r="S15">
        <v>0.44622682233333333</v>
      </c>
      <c r="T15">
        <v>0.50878025714814812</v>
      </c>
    </row>
    <row r="16" spans="1:20" x14ac:dyDescent="0.25">
      <c r="A16" t="s">
        <v>93</v>
      </c>
      <c r="B16">
        <v>0.71661238000000005</v>
      </c>
      <c r="C16">
        <v>0.68296796000000004</v>
      </c>
      <c r="D16">
        <v>0.80882352999999996</v>
      </c>
      <c r="E16">
        <v>0.76086957</v>
      </c>
      <c r="F16">
        <v>0.74803149999999996</v>
      </c>
      <c r="G16">
        <v>0.80502216000000004</v>
      </c>
      <c r="H16">
        <v>0.83452210999999998</v>
      </c>
      <c r="I16">
        <v>0.78947367999999996</v>
      </c>
      <c r="J16">
        <v>0.77743901999999998</v>
      </c>
      <c r="K16">
        <v>0.83094555999999997</v>
      </c>
      <c r="L16">
        <v>0.76923076999999995</v>
      </c>
      <c r="M16">
        <v>0.78947367999999996</v>
      </c>
      <c r="N16">
        <v>0.78549849000000005</v>
      </c>
      <c r="O16">
        <v>0.75663027000000005</v>
      </c>
      <c r="P16">
        <v>0.66265059999999998</v>
      </c>
      <c r="Q16">
        <v>0.70723683999999998</v>
      </c>
      <c r="R16">
        <v>0.70247934000000001</v>
      </c>
      <c r="S16">
        <v>0.74803149999999996</v>
      </c>
      <c r="T16">
        <v>0.75977438666666663</v>
      </c>
    </row>
    <row r="17" spans="1:20" x14ac:dyDescent="0.25">
      <c r="A17" t="s">
        <v>94</v>
      </c>
      <c r="B17">
        <v>0.50104165266666678</v>
      </c>
      <c r="C17">
        <v>0.48538619533333338</v>
      </c>
      <c r="D17">
        <v>0.49149326866666682</v>
      </c>
      <c r="E17">
        <v>0.48566991033333351</v>
      </c>
      <c r="F17">
        <v>0.61956396200000008</v>
      </c>
      <c r="G17">
        <v>0.65824313833333326</v>
      </c>
      <c r="H17">
        <v>0.68881617333333345</v>
      </c>
      <c r="I17">
        <v>0.69612624400000012</v>
      </c>
      <c r="J17">
        <v>0.69565604933333358</v>
      </c>
      <c r="K17">
        <v>0.71016926866666663</v>
      </c>
      <c r="L17">
        <v>0.75591569266666681</v>
      </c>
      <c r="M17">
        <v>0.74504248633333325</v>
      </c>
      <c r="N17">
        <v>0.7590358586666669</v>
      </c>
      <c r="O17">
        <v>0.76284476066666651</v>
      </c>
      <c r="P17">
        <v>0.76293060166666693</v>
      </c>
      <c r="Q17">
        <v>0.74021696333333331</v>
      </c>
      <c r="R17">
        <v>0.7351674136666666</v>
      </c>
      <c r="S17">
        <v>0.72321346700000011</v>
      </c>
      <c r="T17">
        <v>0.66758517259259276</v>
      </c>
    </row>
    <row r="18" spans="1:20" x14ac:dyDescent="0.25">
      <c r="B18">
        <v>0.56751591188888884</v>
      </c>
      <c r="C18">
        <v>0.575164181</v>
      </c>
      <c r="D18">
        <v>0.60513211188888893</v>
      </c>
      <c r="E18">
        <v>0.59991558649999999</v>
      </c>
      <c r="F18">
        <v>0.63439422355555564</v>
      </c>
      <c r="G18">
        <v>0.65942223483333329</v>
      </c>
      <c r="H18">
        <v>0.6756801292222222</v>
      </c>
      <c r="I18">
        <v>0.67007938538888878</v>
      </c>
      <c r="J18">
        <v>0.67842056255555561</v>
      </c>
      <c r="K18">
        <v>0.69507260172222207</v>
      </c>
      <c r="L18">
        <v>0.69175043322222229</v>
      </c>
      <c r="M18">
        <v>0.6700236241666665</v>
      </c>
      <c r="N18">
        <v>0.66436915955555564</v>
      </c>
      <c r="O18">
        <v>0.65133841638888879</v>
      </c>
      <c r="P18">
        <v>0.62674469294444446</v>
      </c>
      <c r="Q18">
        <v>0.62186153855555559</v>
      </c>
      <c r="R18">
        <v>0.61979432994444439</v>
      </c>
      <c r="S18">
        <v>0.6164917046666667</v>
      </c>
      <c r="T18">
        <v>0.64017615711111109</v>
      </c>
    </row>
    <row r="20" spans="1:20" x14ac:dyDescent="0.25">
      <c r="B20" s="8" t="s">
        <v>95</v>
      </c>
      <c r="C20" s="8"/>
      <c r="D20" s="8"/>
      <c r="E20" s="8" t="s">
        <v>99</v>
      </c>
      <c r="F20" s="8"/>
      <c r="G20" s="8"/>
    </row>
    <row r="21" spans="1:20" ht="15.75" x14ac:dyDescent="0.25">
      <c r="A21" s="6"/>
      <c r="B21" s="6" t="s">
        <v>96</v>
      </c>
      <c r="C21" s="6" t="s">
        <v>97</v>
      </c>
      <c r="D21" s="6" t="s">
        <v>98</v>
      </c>
      <c r="E21" s="6" t="s">
        <v>96</v>
      </c>
      <c r="F21" s="6" t="s">
        <v>97</v>
      </c>
      <c r="G21" s="6" t="s">
        <v>98</v>
      </c>
      <c r="H21" s="6"/>
    </row>
    <row r="22" spans="1:20" ht="15.75" x14ac:dyDescent="0.25">
      <c r="A22" s="6" t="s">
        <v>51</v>
      </c>
      <c r="B22" s="7">
        <v>0.46793923833333328</v>
      </c>
      <c r="C22" s="7">
        <v>0.710030151</v>
      </c>
      <c r="D22" s="7">
        <v>0.55004761866666674</v>
      </c>
      <c r="E22" s="7">
        <v>0.45942443066666655</v>
      </c>
      <c r="F22" s="7">
        <v>0.71661238000000005</v>
      </c>
      <c r="G22" s="7">
        <v>0.50104165266666678</v>
      </c>
      <c r="H22" s="7">
        <v>0.56751591188888884</v>
      </c>
    </row>
    <row r="23" spans="1:20" ht="15.75" x14ac:dyDescent="0.25">
      <c r="A23" s="6" t="s">
        <v>52</v>
      </c>
      <c r="B23" s="7">
        <v>0.47765072166666667</v>
      </c>
      <c r="C23" s="7">
        <v>0.70583819933333336</v>
      </c>
      <c r="D23" s="7">
        <v>0.62470599933333326</v>
      </c>
      <c r="E23" s="7">
        <v>0.47443601033333338</v>
      </c>
      <c r="F23" s="7">
        <v>0.68296796000000004</v>
      </c>
      <c r="G23" s="7">
        <v>0.48538619533333338</v>
      </c>
      <c r="H23" s="7">
        <v>0.575164181</v>
      </c>
    </row>
    <row r="24" spans="1:20" ht="15.75" x14ac:dyDescent="0.25">
      <c r="A24" s="6" t="s">
        <v>53</v>
      </c>
      <c r="B24" s="7">
        <v>0.49909809533333349</v>
      </c>
      <c r="C24" s="7">
        <v>0.74004089666666661</v>
      </c>
      <c r="D24" s="7">
        <v>0.62537816499999999</v>
      </c>
      <c r="E24" s="7">
        <v>0.46595871566666669</v>
      </c>
      <c r="F24" s="7">
        <v>0.80882352999999996</v>
      </c>
      <c r="G24" s="7">
        <v>0.49149326866666682</v>
      </c>
      <c r="H24" s="7">
        <v>0.60513211188888893</v>
      </c>
    </row>
    <row r="25" spans="1:20" ht="15.75" x14ac:dyDescent="0.25">
      <c r="A25" s="6" t="s">
        <v>54</v>
      </c>
      <c r="B25" s="7">
        <v>0.5165277983333334</v>
      </c>
      <c r="C25" s="7">
        <v>0.7466634723333333</v>
      </c>
      <c r="D25" s="7">
        <v>0.65603381399999994</v>
      </c>
      <c r="E25" s="7">
        <v>0.43372895400000006</v>
      </c>
      <c r="F25" s="7">
        <v>0.76086957</v>
      </c>
      <c r="G25" s="7">
        <v>0.48566991033333351</v>
      </c>
      <c r="H25" s="7">
        <v>0.59991558649999999</v>
      </c>
    </row>
    <row r="26" spans="1:20" ht="15.75" x14ac:dyDescent="0.25">
      <c r="A26" s="6" t="s">
        <v>55</v>
      </c>
      <c r="B26" s="7">
        <v>0.53158045933333342</v>
      </c>
      <c r="C26" s="7">
        <v>0.74619031566666671</v>
      </c>
      <c r="D26" s="7">
        <v>0.67242654233333332</v>
      </c>
      <c r="E26" s="7">
        <v>0.48857256199999999</v>
      </c>
      <c r="F26" s="7">
        <v>0.74803149999999996</v>
      </c>
      <c r="G26" s="7">
        <v>0.61956396200000008</v>
      </c>
      <c r="H26" s="7">
        <v>0.63439422355555564</v>
      </c>
    </row>
    <row r="27" spans="1:20" ht="15.75" x14ac:dyDescent="0.25">
      <c r="A27" s="6" t="s">
        <v>56</v>
      </c>
      <c r="B27" s="7">
        <v>0.54793055533333346</v>
      </c>
      <c r="C27" s="7">
        <v>0.75880068600000006</v>
      </c>
      <c r="D27" s="7">
        <v>0.68031559733333336</v>
      </c>
      <c r="E27" s="7">
        <v>0.506221272</v>
      </c>
      <c r="F27" s="7">
        <v>0.80502216000000004</v>
      </c>
      <c r="G27" s="7">
        <v>0.65824313833333326</v>
      </c>
      <c r="H27" s="7">
        <v>0.65942223483333329</v>
      </c>
    </row>
    <row r="28" spans="1:20" ht="15.75" x14ac:dyDescent="0.25">
      <c r="A28" s="6" t="s">
        <v>57</v>
      </c>
      <c r="B28" s="7">
        <v>0.54485586899999994</v>
      </c>
      <c r="C28" s="7">
        <v>0.75907586800000015</v>
      </c>
      <c r="D28" s="7">
        <v>0.70162843500000016</v>
      </c>
      <c r="E28" s="7">
        <v>0.52518231999999998</v>
      </c>
      <c r="F28" s="7">
        <v>0.83452210999999998</v>
      </c>
      <c r="G28" s="7">
        <v>0.68881617333333345</v>
      </c>
      <c r="H28" s="7">
        <v>0.6756801292222222</v>
      </c>
    </row>
    <row r="29" spans="1:20" ht="15.75" x14ac:dyDescent="0.25">
      <c r="A29" s="6" t="s">
        <v>58</v>
      </c>
      <c r="B29" s="7">
        <v>0.54819827500000007</v>
      </c>
      <c r="C29" s="7">
        <v>0.75100755633333316</v>
      </c>
      <c r="D29" s="7">
        <v>0.69947061533333321</v>
      </c>
      <c r="E29" s="7">
        <v>0.53619994166666662</v>
      </c>
      <c r="F29" s="7">
        <v>0.78947367999999996</v>
      </c>
      <c r="G29" s="7">
        <v>0.69612624400000012</v>
      </c>
      <c r="H29" s="7">
        <v>0.67007938538888878</v>
      </c>
    </row>
    <row r="30" spans="1:20" ht="15.75" x14ac:dyDescent="0.25">
      <c r="A30" s="6" t="s">
        <v>59</v>
      </c>
      <c r="B30" s="7">
        <v>0.57041656300000021</v>
      </c>
      <c r="C30" s="7">
        <v>0.7544256749999998</v>
      </c>
      <c r="D30" s="7">
        <v>0.7106031306666668</v>
      </c>
      <c r="E30" s="7">
        <v>0.56198293733333327</v>
      </c>
      <c r="F30" s="7">
        <v>0.77743901999999998</v>
      </c>
      <c r="G30" s="7">
        <v>0.69565604933333358</v>
      </c>
      <c r="H30" s="7">
        <v>0.67842056255555561</v>
      </c>
    </row>
    <row r="31" spans="1:20" ht="15.75" x14ac:dyDescent="0.25">
      <c r="A31" s="6" t="s">
        <v>60</v>
      </c>
      <c r="B31" s="7">
        <v>0.57745337566666666</v>
      </c>
      <c r="C31" s="7">
        <v>0.74868640433333311</v>
      </c>
      <c r="D31" s="7">
        <v>0.72386775399999992</v>
      </c>
      <c r="E31" s="7">
        <v>0.57931324766666659</v>
      </c>
      <c r="F31" s="7">
        <v>0.83094555999999997</v>
      </c>
      <c r="G31" s="7">
        <v>0.71016926866666663</v>
      </c>
      <c r="H31" s="7">
        <v>0.69507260172222207</v>
      </c>
    </row>
    <row r="32" spans="1:20" ht="15.75" x14ac:dyDescent="0.25">
      <c r="A32" s="6" t="s">
        <v>61</v>
      </c>
      <c r="B32" s="7">
        <v>0.56592434899999988</v>
      </c>
      <c r="C32" s="7">
        <v>0.72734734633333342</v>
      </c>
      <c r="D32" s="7">
        <v>0.73022259900000031</v>
      </c>
      <c r="E32" s="7">
        <v>0.6018618423333334</v>
      </c>
      <c r="F32" s="7">
        <v>0.76923076999999995</v>
      </c>
      <c r="G32" s="7">
        <v>0.75591569266666681</v>
      </c>
      <c r="H32" s="7">
        <v>0.69175043322222229</v>
      </c>
    </row>
    <row r="33" spans="1:8" ht="15.75" x14ac:dyDescent="0.25">
      <c r="A33" s="6" t="s">
        <v>62</v>
      </c>
      <c r="B33" s="7">
        <v>0.50585674066666664</v>
      </c>
      <c r="C33" s="7">
        <v>0.71417526466666659</v>
      </c>
      <c r="D33" s="7">
        <v>0.71043780233333342</v>
      </c>
      <c r="E33" s="7">
        <v>0.55515577100000013</v>
      </c>
      <c r="F33" s="7">
        <v>0.78947367999999996</v>
      </c>
      <c r="G33" s="7">
        <v>0.74504248633333325</v>
      </c>
      <c r="H33" s="7">
        <v>0.6700236241666665</v>
      </c>
    </row>
    <row r="34" spans="1:8" ht="15.75" x14ac:dyDescent="0.25">
      <c r="A34" s="6" t="s">
        <v>63</v>
      </c>
      <c r="B34" s="7">
        <v>0.48568304766666665</v>
      </c>
      <c r="C34" s="7">
        <v>0.70259440166666665</v>
      </c>
      <c r="D34" s="7">
        <v>0.71241498300000017</v>
      </c>
      <c r="E34" s="7">
        <v>0.5409881763333334</v>
      </c>
      <c r="F34" s="7">
        <v>0.78549849000000005</v>
      </c>
      <c r="G34" s="7">
        <v>0.7590358586666669</v>
      </c>
      <c r="H34" s="7">
        <v>0.66436915955555564</v>
      </c>
    </row>
    <row r="35" spans="1:8" ht="15.75" x14ac:dyDescent="0.25">
      <c r="A35" s="6" t="s">
        <v>64</v>
      </c>
      <c r="B35" s="7">
        <v>0.48188411133333342</v>
      </c>
      <c r="C35" s="7">
        <v>0.68635847966666641</v>
      </c>
      <c r="D35" s="7">
        <v>0.69690859199999999</v>
      </c>
      <c r="E35" s="7">
        <v>0.52340428466666666</v>
      </c>
      <c r="F35" s="7">
        <v>0.75663027000000005</v>
      </c>
      <c r="G35" s="7">
        <v>0.76284476066666651</v>
      </c>
      <c r="H35" s="7">
        <v>0.65133841638888879</v>
      </c>
    </row>
    <row r="36" spans="1:8" ht="15.75" x14ac:dyDescent="0.25">
      <c r="A36" s="6" t="s">
        <v>65</v>
      </c>
      <c r="B36" s="7">
        <v>0.45595732766666669</v>
      </c>
      <c r="C36" s="7">
        <v>0.6871237939999999</v>
      </c>
      <c r="D36" s="7">
        <v>0.69053420999999982</v>
      </c>
      <c r="E36" s="7">
        <v>0.50127162433333328</v>
      </c>
      <c r="F36" s="7">
        <v>0.66265059999999998</v>
      </c>
      <c r="G36" s="7">
        <v>0.76293060166666693</v>
      </c>
      <c r="H36" s="7">
        <v>0.62674469294444446</v>
      </c>
    </row>
    <row r="37" spans="1:8" ht="15.75" x14ac:dyDescent="0.25">
      <c r="A37" s="6" t="s">
        <v>66</v>
      </c>
      <c r="B37" s="7">
        <v>0.43271179899999995</v>
      </c>
      <c r="C37" s="7">
        <v>0.68671740499999989</v>
      </c>
      <c r="D37" s="7">
        <v>0.67730815666666688</v>
      </c>
      <c r="E37" s="7">
        <v>0.48697806733333332</v>
      </c>
      <c r="F37" s="7">
        <v>0.70723683999999998</v>
      </c>
      <c r="G37" s="7">
        <v>0.74021696333333331</v>
      </c>
      <c r="H37" s="7">
        <v>0.62186153855555559</v>
      </c>
    </row>
    <row r="38" spans="1:8" ht="15.75" x14ac:dyDescent="0.25">
      <c r="A38" s="6" t="s">
        <v>67</v>
      </c>
      <c r="B38" s="7">
        <v>0.44189510599999998</v>
      </c>
      <c r="C38" s="7">
        <v>0.69025640766666641</v>
      </c>
      <c r="D38" s="7">
        <v>0.67783006333333318</v>
      </c>
      <c r="E38" s="7">
        <v>0.47113764900000005</v>
      </c>
      <c r="F38" s="7">
        <v>0.70247934000000001</v>
      </c>
      <c r="G38" s="7">
        <v>0.7351674136666666</v>
      </c>
      <c r="H38" s="7">
        <v>0.61979432994444439</v>
      </c>
    </row>
    <row r="39" spans="1:8" ht="15.75" x14ac:dyDescent="0.25">
      <c r="A39" s="6" t="s">
        <v>68</v>
      </c>
      <c r="B39" s="7">
        <v>0.43458089400000005</v>
      </c>
      <c r="C39" s="7">
        <v>0.68286423333333357</v>
      </c>
      <c r="D39" s="7">
        <v>0.66403331133333332</v>
      </c>
      <c r="E39" s="7">
        <v>0.44622682233333333</v>
      </c>
      <c r="F39" s="7">
        <v>0.74803149999999996</v>
      </c>
      <c r="G39" s="7">
        <v>0.72321346700000011</v>
      </c>
      <c r="H39" s="7">
        <v>0.6164917046666667</v>
      </c>
    </row>
    <row r="40" spans="1:8" ht="15.75" x14ac:dyDescent="0.25">
      <c r="A40" s="6"/>
      <c r="B40" s="7">
        <v>0.50478579590740746</v>
      </c>
      <c r="C40" s="7">
        <v>0.72212203094444438</v>
      </c>
      <c r="D40" s="7">
        <v>0.6780092994074074</v>
      </c>
      <c r="E40" s="7">
        <v>0.50878025714814812</v>
      </c>
      <c r="F40" s="7">
        <v>0.75977438666666663</v>
      </c>
      <c r="G40" s="7">
        <v>0.66758517259259276</v>
      </c>
      <c r="H40" s="7">
        <v>0.64017615711111109</v>
      </c>
    </row>
  </sheetData>
  <mergeCells count="2">
    <mergeCell ref="B20:D20"/>
    <mergeCell ref="E20:G20"/>
  </mergeCells>
  <conditionalFormatting sqref="B2:S7">
    <cfRule type="colorScale" priority="13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T2:T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S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G39">
    <cfRule type="colorScale" priority="3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H22:H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:G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F16D-753B-4DD3-AB91-09CF93512099}">
  <sheetPr codeName="Tabelle3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9" t="s">
        <v>76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x14ac:dyDescent="0.25">
      <c r="A2" s="9" t="s">
        <v>18</v>
      </c>
      <c r="B2" s="11">
        <v>0.56603773999999996</v>
      </c>
      <c r="C2" s="11">
        <v>0.65743945000000004</v>
      </c>
      <c r="D2" s="11">
        <v>0.65217391000000002</v>
      </c>
      <c r="E2" s="11">
        <v>0.66265059999999998</v>
      </c>
      <c r="F2" s="11">
        <v>0.67291312000000003</v>
      </c>
      <c r="G2" s="11">
        <v>0.69767442000000002</v>
      </c>
      <c r="H2" s="11">
        <v>0.66780821999999995</v>
      </c>
      <c r="I2" s="11">
        <v>0.64685314999999999</v>
      </c>
      <c r="J2" s="11">
        <v>0.66265059999999998</v>
      </c>
      <c r="K2" s="11">
        <v>0.76086957</v>
      </c>
      <c r="L2" s="11">
        <v>0.71661238000000005</v>
      </c>
      <c r="M2" s="11">
        <v>0.66780821999999995</v>
      </c>
      <c r="N2" s="11">
        <v>0.72580644999999999</v>
      </c>
      <c r="O2" s="11">
        <v>0.72580644999999999</v>
      </c>
      <c r="P2" s="11">
        <v>0.72123177000000005</v>
      </c>
      <c r="Q2" s="11">
        <v>0.70723683999999998</v>
      </c>
      <c r="R2" s="11">
        <v>0.70723683999999998</v>
      </c>
      <c r="S2" s="11">
        <v>0.67291312000000003</v>
      </c>
    </row>
    <row r="3" spans="1:19" x14ac:dyDescent="0.25">
      <c r="A3" s="9" t="s">
        <v>19</v>
      </c>
      <c r="B3" s="11">
        <v>0.61371841000000005</v>
      </c>
      <c r="C3" s="11">
        <v>0.64685314999999999</v>
      </c>
      <c r="D3" s="11">
        <v>0.65217391000000002</v>
      </c>
      <c r="E3" s="11">
        <v>0.57835820999999998</v>
      </c>
      <c r="F3" s="11">
        <v>0.65743945000000004</v>
      </c>
      <c r="G3" s="11">
        <v>0.66780821999999995</v>
      </c>
      <c r="H3" s="11">
        <v>0.67796610000000002</v>
      </c>
      <c r="I3" s="11">
        <v>0.73482428</v>
      </c>
      <c r="J3" s="11">
        <v>0.71194763000000005</v>
      </c>
      <c r="K3" s="11">
        <v>0.71661238000000005</v>
      </c>
      <c r="L3" s="11">
        <v>0.73482428</v>
      </c>
      <c r="M3" s="11">
        <v>0.71661238000000005</v>
      </c>
      <c r="N3" s="11">
        <v>0.70247934000000001</v>
      </c>
      <c r="O3" s="11">
        <v>0.66780821999999995</v>
      </c>
      <c r="P3" s="11">
        <v>0.68296796000000004</v>
      </c>
      <c r="Q3" s="11">
        <v>0.60218978000000001</v>
      </c>
      <c r="R3" s="11">
        <v>0.67796610000000002</v>
      </c>
      <c r="S3" s="11">
        <v>0.69282136999999999</v>
      </c>
    </row>
    <row r="4" spans="1:19" x14ac:dyDescent="0.25">
      <c r="A4" s="9" t="s">
        <v>20</v>
      </c>
      <c r="B4" s="11">
        <v>0.52062867999999995</v>
      </c>
      <c r="C4" s="11">
        <v>0.60218978000000001</v>
      </c>
      <c r="D4" s="11">
        <v>0.65743945000000004</v>
      </c>
      <c r="E4" s="11">
        <v>0.66780821999999995</v>
      </c>
      <c r="F4" s="11">
        <v>0.66265059999999998</v>
      </c>
      <c r="G4" s="11">
        <v>0.71194763000000005</v>
      </c>
      <c r="H4" s="11">
        <v>0.70247934000000001</v>
      </c>
      <c r="I4" s="11">
        <v>0.73926868000000001</v>
      </c>
      <c r="J4" s="11">
        <v>0.70723683999999998</v>
      </c>
      <c r="K4" s="11">
        <v>0.64685314999999999</v>
      </c>
      <c r="L4" s="11">
        <v>0.77743901999999998</v>
      </c>
      <c r="M4" s="11">
        <v>0.67796610000000002</v>
      </c>
      <c r="N4" s="11">
        <v>0.73033707999999997</v>
      </c>
      <c r="O4" s="11">
        <v>0.73926868000000001</v>
      </c>
      <c r="P4" s="11">
        <v>0.70247934000000001</v>
      </c>
      <c r="Q4" s="11">
        <v>0.65743945000000004</v>
      </c>
      <c r="R4" s="11">
        <v>0.76086957</v>
      </c>
      <c r="S4" s="11">
        <v>0.65743945000000004</v>
      </c>
    </row>
    <row r="5" spans="1:19" x14ac:dyDescent="0.25">
      <c r="A5" s="9" t="s">
        <v>21</v>
      </c>
      <c r="B5" s="11">
        <v>0.59040590000000004</v>
      </c>
      <c r="C5" s="11">
        <v>0.64147626999999996</v>
      </c>
      <c r="D5" s="11">
        <v>0.60798547999999997</v>
      </c>
      <c r="E5" s="11">
        <v>0.67796610000000002</v>
      </c>
      <c r="F5" s="11">
        <v>0.60218978000000001</v>
      </c>
      <c r="G5" s="11">
        <v>0.57835820999999998</v>
      </c>
      <c r="H5" s="11">
        <v>0.69767442000000002</v>
      </c>
      <c r="I5" s="11">
        <v>0.72580644999999999</v>
      </c>
      <c r="J5" s="11">
        <v>0.68791946000000004</v>
      </c>
      <c r="K5" s="11">
        <v>0.70247934000000001</v>
      </c>
      <c r="L5" s="11">
        <v>0.76086957</v>
      </c>
      <c r="M5" s="11">
        <v>0.68791946000000004</v>
      </c>
      <c r="N5" s="11">
        <v>0.74803149999999996</v>
      </c>
      <c r="O5" s="11">
        <v>0.68296796000000004</v>
      </c>
      <c r="P5" s="11">
        <v>0.71194763000000005</v>
      </c>
      <c r="Q5" s="11">
        <v>0.69767442000000002</v>
      </c>
      <c r="R5" s="11">
        <v>0.69767442000000002</v>
      </c>
      <c r="S5" s="11">
        <v>0.70723683999999998</v>
      </c>
    </row>
    <row r="6" spans="1:19" x14ac:dyDescent="0.25">
      <c r="A6" s="9" t="s">
        <v>22</v>
      </c>
      <c r="B6" s="11">
        <v>0.58441558000000005</v>
      </c>
      <c r="C6" s="11">
        <v>0.66780821999999995</v>
      </c>
      <c r="D6" s="11">
        <v>0.64147626999999996</v>
      </c>
      <c r="E6" s="11">
        <v>0.61371841000000005</v>
      </c>
      <c r="F6" s="11">
        <v>0.67796610000000002</v>
      </c>
      <c r="G6" s="11">
        <v>0.63604240000000001</v>
      </c>
      <c r="H6" s="11">
        <v>0.71661238000000005</v>
      </c>
      <c r="I6" s="11">
        <v>0.68791946000000004</v>
      </c>
      <c r="J6" s="11">
        <v>0.64147626999999996</v>
      </c>
      <c r="K6" s="11">
        <v>0.78947367999999996</v>
      </c>
      <c r="L6" s="11">
        <v>0.76923076999999995</v>
      </c>
      <c r="M6" s="11">
        <v>0.66265059999999998</v>
      </c>
      <c r="N6" s="11">
        <v>0.71194763000000005</v>
      </c>
      <c r="O6" s="11">
        <v>0.70247934000000001</v>
      </c>
      <c r="P6" s="11">
        <v>0.71661238000000005</v>
      </c>
      <c r="Q6" s="11">
        <v>0.69282136999999999</v>
      </c>
      <c r="R6" s="11">
        <v>0.70247934000000001</v>
      </c>
      <c r="S6" s="11">
        <v>0.67796610000000002</v>
      </c>
    </row>
    <row r="7" spans="1:19" x14ac:dyDescent="0.25">
      <c r="A7" s="9" t="s">
        <v>23</v>
      </c>
      <c r="B7" s="11">
        <v>0.47861506999999998</v>
      </c>
      <c r="C7" s="11">
        <v>0.59040590000000004</v>
      </c>
      <c r="D7" s="11">
        <v>0.63055061999999995</v>
      </c>
      <c r="E7" s="11">
        <v>0.59040590000000004</v>
      </c>
      <c r="F7" s="11">
        <v>0.70247934000000001</v>
      </c>
      <c r="G7" s="11">
        <v>0.60218978000000001</v>
      </c>
      <c r="H7" s="11">
        <v>0.74367088999999997</v>
      </c>
      <c r="I7" s="11">
        <v>0.70723683999999998</v>
      </c>
      <c r="J7" s="11">
        <v>0.65743945000000004</v>
      </c>
      <c r="K7" s="11">
        <v>0.77335374999999995</v>
      </c>
      <c r="L7" s="11">
        <v>0.68296796000000004</v>
      </c>
      <c r="M7" s="11">
        <v>0.71661238000000005</v>
      </c>
      <c r="N7" s="11">
        <v>0.74367088999999997</v>
      </c>
      <c r="O7" s="11">
        <v>0.70723683999999998</v>
      </c>
      <c r="P7" s="11">
        <v>0.61938959000000005</v>
      </c>
      <c r="Q7" s="11">
        <v>0.67796610000000002</v>
      </c>
      <c r="R7" s="11">
        <v>0.71194763000000005</v>
      </c>
      <c r="S7" s="11">
        <v>0.66780821999999995</v>
      </c>
    </row>
    <row r="8" spans="1:19" x14ac:dyDescent="0.25">
      <c r="A8" s="9" t="s">
        <v>24</v>
      </c>
      <c r="B8" s="11">
        <v>0.47861506999999998</v>
      </c>
      <c r="C8" s="11">
        <v>0.64147626999999996</v>
      </c>
      <c r="D8" s="11">
        <v>0.63055061999999995</v>
      </c>
      <c r="E8" s="11">
        <v>0.57223265000000001</v>
      </c>
      <c r="F8" s="11">
        <v>0.69767442000000002</v>
      </c>
      <c r="G8" s="11">
        <v>0.71194763000000005</v>
      </c>
      <c r="H8" s="11">
        <v>0.64147626999999996</v>
      </c>
      <c r="I8" s="11">
        <v>0.66780821999999995</v>
      </c>
      <c r="J8" s="11">
        <v>0.77335374999999995</v>
      </c>
      <c r="K8" s="11">
        <v>0.69282136999999999</v>
      </c>
      <c r="L8" s="11">
        <v>0.76086957</v>
      </c>
      <c r="M8" s="11">
        <v>0.70723683999999998</v>
      </c>
      <c r="N8" s="11">
        <v>0.70723683999999998</v>
      </c>
      <c r="O8" s="11">
        <v>0.65217391000000002</v>
      </c>
      <c r="P8" s="11">
        <v>0.70723683999999998</v>
      </c>
      <c r="Q8" s="11">
        <v>0.70247934000000001</v>
      </c>
      <c r="R8" s="11">
        <v>0.69282136999999999</v>
      </c>
      <c r="S8" s="11">
        <v>0.66780821999999995</v>
      </c>
    </row>
    <row r="9" spans="1:19" x14ac:dyDescent="0.25">
      <c r="A9" s="9" t="s">
        <v>25</v>
      </c>
      <c r="B9" s="11">
        <v>0.47131148</v>
      </c>
      <c r="C9" s="11">
        <v>0.60218978000000001</v>
      </c>
      <c r="D9" s="11">
        <v>0.60218978000000001</v>
      </c>
      <c r="E9" s="11">
        <v>0.64685314999999999</v>
      </c>
      <c r="F9" s="11">
        <v>0.66780821999999995</v>
      </c>
      <c r="G9" s="11">
        <v>0.64147626999999996</v>
      </c>
      <c r="H9" s="11">
        <v>0.71194763000000005</v>
      </c>
      <c r="I9" s="11">
        <v>0.71194763000000005</v>
      </c>
      <c r="J9" s="11">
        <v>0.73482428</v>
      </c>
      <c r="K9" s="11">
        <v>0.67291312000000003</v>
      </c>
      <c r="L9" s="11">
        <v>0.72580644999999999</v>
      </c>
      <c r="M9" s="11">
        <v>0.80502216000000004</v>
      </c>
      <c r="N9" s="11">
        <v>0.67291312000000003</v>
      </c>
      <c r="O9" s="11">
        <v>0.64147626999999996</v>
      </c>
      <c r="P9" s="11">
        <v>0.69767442000000002</v>
      </c>
      <c r="Q9" s="11">
        <v>0.66265059999999998</v>
      </c>
      <c r="R9" s="11">
        <v>0.63055061999999995</v>
      </c>
      <c r="S9" s="11">
        <v>0.67796610000000002</v>
      </c>
    </row>
    <row r="10" spans="1:19" x14ac:dyDescent="0.25">
      <c r="A10" s="9" t="s">
        <v>26</v>
      </c>
      <c r="B10" s="11">
        <v>0.625</v>
      </c>
      <c r="C10" s="11">
        <v>0.59040590000000004</v>
      </c>
      <c r="D10" s="11">
        <v>0.63604240000000001</v>
      </c>
      <c r="E10" s="11">
        <v>0.66265059999999998</v>
      </c>
      <c r="F10" s="11">
        <v>0.61371841000000005</v>
      </c>
      <c r="G10" s="11">
        <v>0.66780821999999995</v>
      </c>
      <c r="H10" s="11">
        <v>0.70723683999999998</v>
      </c>
      <c r="I10" s="11">
        <v>0.65743945000000004</v>
      </c>
      <c r="J10" s="11">
        <v>0.72123177000000005</v>
      </c>
      <c r="K10" s="11">
        <v>0.75663027000000005</v>
      </c>
      <c r="L10" s="11">
        <v>0.77743901999999998</v>
      </c>
      <c r="M10" s="11">
        <v>0.70247934000000001</v>
      </c>
      <c r="N10" s="11">
        <v>0.65743945000000004</v>
      </c>
      <c r="O10" s="11">
        <v>0.65217391000000002</v>
      </c>
      <c r="P10" s="11">
        <v>0.70247934000000001</v>
      </c>
      <c r="Q10" s="11">
        <v>0.74367088999999997</v>
      </c>
      <c r="R10" s="11">
        <v>0.64685314999999999</v>
      </c>
      <c r="S10" s="11">
        <v>0.64147626999999996</v>
      </c>
    </row>
    <row r="11" spans="1:19" x14ac:dyDescent="0.25">
      <c r="A11" s="9" t="s">
        <v>27</v>
      </c>
      <c r="B11" s="11">
        <v>0.50695825000000005</v>
      </c>
      <c r="C11" s="11">
        <v>0.60798547999999997</v>
      </c>
      <c r="D11" s="11">
        <v>0.61371841000000005</v>
      </c>
      <c r="E11" s="11">
        <v>0.66265059999999998</v>
      </c>
      <c r="F11" s="11">
        <v>0.67796610000000002</v>
      </c>
      <c r="G11" s="11">
        <v>0.70247934000000001</v>
      </c>
      <c r="H11" s="11">
        <v>0.70723683999999998</v>
      </c>
      <c r="I11" s="11">
        <v>0.73482428</v>
      </c>
      <c r="J11" s="11">
        <v>0.73926868000000001</v>
      </c>
      <c r="K11" s="11">
        <v>0.76506954999999999</v>
      </c>
      <c r="L11" s="11">
        <v>0.76086957</v>
      </c>
      <c r="M11" s="11">
        <v>0.68791946000000004</v>
      </c>
      <c r="N11" s="11">
        <v>0.67796610000000002</v>
      </c>
      <c r="O11" s="11">
        <v>0.64685314999999999</v>
      </c>
      <c r="P11" s="11">
        <v>0.72580644999999999</v>
      </c>
      <c r="Q11" s="11">
        <v>0.65217391000000002</v>
      </c>
      <c r="R11" s="11">
        <v>0.61938959000000005</v>
      </c>
      <c r="S11" s="11">
        <v>0.65743945000000004</v>
      </c>
    </row>
    <row r="12" spans="1:19" x14ac:dyDescent="0.25">
      <c r="A12" s="9" t="s">
        <v>28</v>
      </c>
      <c r="B12" s="11">
        <v>0.66265059999999998</v>
      </c>
      <c r="C12" s="11">
        <v>0.64685314999999999</v>
      </c>
      <c r="D12" s="11">
        <v>0.66265059999999998</v>
      </c>
      <c r="E12" s="11">
        <v>0.73926868000000001</v>
      </c>
      <c r="F12" s="11">
        <v>0.71661238000000005</v>
      </c>
      <c r="G12" s="11">
        <v>0.75663027000000005</v>
      </c>
      <c r="H12" s="11">
        <v>0.71194763000000005</v>
      </c>
      <c r="I12" s="11">
        <v>0.65743945000000004</v>
      </c>
      <c r="J12" s="11">
        <v>0.69282136999999999</v>
      </c>
      <c r="K12" s="11">
        <v>0.74367088999999997</v>
      </c>
      <c r="L12" s="11">
        <v>0.72580644999999999</v>
      </c>
      <c r="M12" s="11">
        <v>0.73926868000000001</v>
      </c>
      <c r="N12" s="11">
        <v>0.74803149999999996</v>
      </c>
      <c r="O12" s="11">
        <v>0.71194763000000005</v>
      </c>
      <c r="P12" s="11">
        <v>0.73482428</v>
      </c>
      <c r="Q12" s="11">
        <v>0.73926868000000001</v>
      </c>
      <c r="R12" s="11">
        <v>0.67796610000000002</v>
      </c>
      <c r="S12" s="11">
        <v>0.69767442000000002</v>
      </c>
    </row>
    <row r="13" spans="1:19" x14ac:dyDescent="0.25">
      <c r="A13" s="9" t="s">
        <v>29</v>
      </c>
      <c r="B13" s="11">
        <v>0.54054053999999996</v>
      </c>
      <c r="C13" s="11">
        <v>0.60218978000000001</v>
      </c>
      <c r="D13" s="11">
        <v>0.63604240000000001</v>
      </c>
      <c r="E13" s="11">
        <v>0.61938959000000005</v>
      </c>
      <c r="F13" s="11">
        <v>0.72580644999999999</v>
      </c>
      <c r="G13" s="11">
        <v>0.63604240000000001</v>
      </c>
      <c r="H13" s="11">
        <v>0.71194763000000005</v>
      </c>
      <c r="I13" s="11">
        <v>0.74803149999999996</v>
      </c>
      <c r="J13" s="11">
        <v>0.72580644999999999</v>
      </c>
      <c r="K13" s="11">
        <v>0.77335374999999995</v>
      </c>
      <c r="L13" s="11">
        <v>0.71661238000000005</v>
      </c>
      <c r="M13" s="11">
        <v>0.67796610000000002</v>
      </c>
      <c r="N13" s="11">
        <v>0.72123177000000005</v>
      </c>
      <c r="O13" s="11">
        <v>0.68791946000000004</v>
      </c>
      <c r="P13" s="11">
        <v>0.68296796000000004</v>
      </c>
      <c r="Q13" s="11">
        <v>0.64147626999999996</v>
      </c>
      <c r="R13" s="11">
        <v>0.66780821999999995</v>
      </c>
      <c r="S13" s="11">
        <v>0.66780821999999995</v>
      </c>
    </row>
    <row r="14" spans="1:19" x14ac:dyDescent="0.25">
      <c r="A14" s="9" t="s">
        <v>30</v>
      </c>
      <c r="B14" s="11">
        <v>0.50695825000000005</v>
      </c>
      <c r="C14" s="11">
        <v>0.61371841000000005</v>
      </c>
      <c r="D14" s="11">
        <v>0.63604240000000001</v>
      </c>
      <c r="E14" s="11">
        <v>0.68296796000000004</v>
      </c>
      <c r="F14" s="11">
        <v>0.69767442000000002</v>
      </c>
      <c r="G14" s="11">
        <v>0.69767442000000002</v>
      </c>
      <c r="H14" s="11">
        <v>0.64147626999999996</v>
      </c>
      <c r="I14" s="11">
        <v>0.70247934000000001</v>
      </c>
      <c r="J14" s="11">
        <v>0.73033707999999997</v>
      </c>
      <c r="K14" s="11">
        <v>0.72580644999999999</v>
      </c>
      <c r="L14" s="11">
        <v>0.66780821999999995</v>
      </c>
      <c r="M14" s="11">
        <v>0.68296796000000004</v>
      </c>
      <c r="N14" s="11">
        <v>0.67796610000000002</v>
      </c>
      <c r="O14" s="11">
        <v>0.74803149999999996</v>
      </c>
      <c r="P14" s="11">
        <v>0.65217391000000002</v>
      </c>
      <c r="Q14" s="11">
        <v>0.63604240000000001</v>
      </c>
      <c r="R14" s="11">
        <v>0.69767442000000002</v>
      </c>
      <c r="S14" s="11">
        <v>0.63604240000000001</v>
      </c>
    </row>
    <row r="15" spans="1:19" x14ac:dyDescent="0.25">
      <c r="A15" s="9" t="s">
        <v>31</v>
      </c>
      <c r="B15" s="11">
        <v>0.53398058000000004</v>
      </c>
      <c r="C15" s="11">
        <v>0.63055061999999995</v>
      </c>
      <c r="D15" s="11">
        <v>0.59633027999999999</v>
      </c>
      <c r="E15" s="11">
        <v>0.625</v>
      </c>
      <c r="F15" s="11">
        <v>0.64685314999999999</v>
      </c>
      <c r="G15" s="11">
        <v>0.65743945000000004</v>
      </c>
      <c r="H15" s="11">
        <v>0.68791946000000004</v>
      </c>
      <c r="I15" s="11">
        <v>0.71661238000000005</v>
      </c>
      <c r="J15" s="11">
        <v>0.69282136999999999</v>
      </c>
      <c r="K15" s="11">
        <v>0.72580644999999999</v>
      </c>
      <c r="L15" s="11">
        <v>0.75663027000000005</v>
      </c>
      <c r="M15" s="11">
        <v>0.70723683999999998</v>
      </c>
      <c r="N15" s="11">
        <v>0.70723683999999998</v>
      </c>
      <c r="O15" s="11">
        <v>0.70247934000000001</v>
      </c>
      <c r="P15" s="11">
        <v>0.67291312000000003</v>
      </c>
      <c r="Q15" s="11">
        <v>0.60798547999999997</v>
      </c>
      <c r="R15" s="11">
        <v>0.68296796000000004</v>
      </c>
      <c r="S15" s="11">
        <v>0.63604240000000001</v>
      </c>
    </row>
    <row r="16" spans="1:19" x14ac:dyDescent="0.25">
      <c r="A16" s="9" t="s">
        <v>32</v>
      </c>
      <c r="B16" s="11">
        <v>0.54702494999999995</v>
      </c>
      <c r="C16" s="11">
        <v>0.625</v>
      </c>
      <c r="D16" s="11">
        <v>0.59040590000000004</v>
      </c>
      <c r="E16" s="11">
        <v>0.65217391000000002</v>
      </c>
      <c r="F16" s="11">
        <v>0.69767442000000002</v>
      </c>
      <c r="G16" s="11">
        <v>0.72123177000000005</v>
      </c>
      <c r="H16" s="11">
        <v>0.65743945000000004</v>
      </c>
      <c r="I16" s="11">
        <v>0.63604240000000001</v>
      </c>
      <c r="J16" s="11">
        <v>0.75235110000000005</v>
      </c>
      <c r="K16" s="11">
        <v>0.71194763000000005</v>
      </c>
      <c r="L16" s="11">
        <v>0.72580644999999999</v>
      </c>
      <c r="M16" s="11">
        <v>0.72123177000000005</v>
      </c>
      <c r="N16" s="11">
        <v>0.69767442000000002</v>
      </c>
      <c r="O16" s="11">
        <v>0.69767442000000002</v>
      </c>
      <c r="P16" s="11">
        <v>0.60218978000000001</v>
      </c>
      <c r="Q16" s="11">
        <v>0.56603773999999996</v>
      </c>
      <c r="R16" s="11">
        <v>0.65217391000000002</v>
      </c>
      <c r="S16" s="11">
        <v>0.65217391000000002</v>
      </c>
    </row>
    <row r="17" spans="1:19" x14ac:dyDescent="0.25">
      <c r="A17" s="9" t="s">
        <v>33</v>
      </c>
      <c r="B17" s="11">
        <v>0.52734375</v>
      </c>
      <c r="C17" s="11">
        <v>0.66780821999999995</v>
      </c>
      <c r="D17" s="11">
        <v>0.61371841000000005</v>
      </c>
      <c r="E17" s="11">
        <v>0.59040590000000004</v>
      </c>
      <c r="F17" s="11">
        <v>0.64685314999999999</v>
      </c>
      <c r="G17" s="11">
        <v>0.71661238000000005</v>
      </c>
      <c r="H17" s="11">
        <v>0.72580644999999999</v>
      </c>
      <c r="I17" s="11">
        <v>0.65743945000000004</v>
      </c>
      <c r="J17" s="11">
        <v>0.64147626999999996</v>
      </c>
      <c r="K17" s="11">
        <v>0.65743945000000004</v>
      </c>
      <c r="L17" s="11">
        <v>0.70247934000000001</v>
      </c>
      <c r="M17" s="11">
        <v>0.71661238000000005</v>
      </c>
      <c r="N17" s="11">
        <v>0.77335374999999995</v>
      </c>
      <c r="O17" s="11">
        <v>0.73033707999999997</v>
      </c>
      <c r="P17" s="11">
        <v>0.69767442000000002</v>
      </c>
      <c r="Q17" s="11">
        <v>0.68296796000000004</v>
      </c>
      <c r="R17" s="11">
        <v>0.71194763000000005</v>
      </c>
      <c r="S17" s="11">
        <v>0.69767442000000002</v>
      </c>
    </row>
    <row r="18" spans="1:19" x14ac:dyDescent="0.25">
      <c r="A18" s="9" t="s">
        <v>34</v>
      </c>
      <c r="B18" s="11">
        <v>0.5597723</v>
      </c>
      <c r="C18" s="11">
        <v>0.60218978000000001</v>
      </c>
      <c r="D18" s="11">
        <v>0.60218978000000001</v>
      </c>
      <c r="E18" s="11">
        <v>0.64685314999999999</v>
      </c>
      <c r="F18" s="11">
        <v>0.67291312000000003</v>
      </c>
      <c r="G18" s="11">
        <v>0.69767442000000002</v>
      </c>
      <c r="H18" s="11">
        <v>0.67796610000000002</v>
      </c>
      <c r="I18" s="11">
        <v>0.66780821999999995</v>
      </c>
      <c r="J18" s="11">
        <v>0.69767442000000002</v>
      </c>
      <c r="K18" s="11">
        <v>0.72580644999999999</v>
      </c>
      <c r="L18" s="11">
        <v>0.76506954999999999</v>
      </c>
      <c r="M18" s="11">
        <v>0.76506954999999999</v>
      </c>
      <c r="N18" s="11">
        <v>0.67796610000000002</v>
      </c>
      <c r="O18" s="11">
        <v>0.67796610000000002</v>
      </c>
      <c r="P18" s="11">
        <v>0.63604240000000001</v>
      </c>
      <c r="Q18" s="11">
        <v>0.61371841000000005</v>
      </c>
      <c r="R18" s="11">
        <v>0.68791946000000004</v>
      </c>
      <c r="S18" s="11">
        <v>0.59040590000000004</v>
      </c>
    </row>
    <row r="19" spans="1:19" x14ac:dyDescent="0.25">
      <c r="A19" s="9" t="s">
        <v>35</v>
      </c>
      <c r="B19" s="11">
        <v>0.52734375</v>
      </c>
      <c r="C19" s="11">
        <v>0.64685314999999999</v>
      </c>
      <c r="D19" s="11">
        <v>0.60798547999999997</v>
      </c>
      <c r="E19" s="11">
        <v>0.64685314999999999</v>
      </c>
      <c r="F19" s="11">
        <v>0.66780821999999995</v>
      </c>
      <c r="G19" s="11">
        <v>0.68296796000000004</v>
      </c>
      <c r="H19" s="11">
        <v>0.69767442000000002</v>
      </c>
      <c r="I19" s="11">
        <v>0.66780821999999995</v>
      </c>
      <c r="J19" s="11">
        <v>0.71194763000000005</v>
      </c>
      <c r="K19" s="11">
        <v>0.72123177000000005</v>
      </c>
      <c r="L19" s="11">
        <v>0.70723683999999998</v>
      </c>
      <c r="M19" s="11">
        <v>0.76086957</v>
      </c>
      <c r="N19" s="11">
        <v>0.72580644999999999</v>
      </c>
      <c r="O19" s="11">
        <v>0.68791946000000004</v>
      </c>
      <c r="P19" s="11">
        <v>0.70723683999999998</v>
      </c>
      <c r="Q19" s="11">
        <v>0.69282136999999999</v>
      </c>
      <c r="R19" s="11">
        <v>0.68791946000000004</v>
      </c>
      <c r="S19" s="11">
        <v>0.74803149999999996</v>
      </c>
    </row>
    <row r="20" spans="1:19" x14ac:dyDescent="0.25">
      <c r="A20" s="9" t="s">
        <v>36</v>
      </c>
      <c r="B20" s="11">
        <v>0.57223265000000001</v>
      </c>
      <c r="C20" s="11">
        <v>0.64685314999999999</v>
      </c>
      <c r="D20" s="11">
        <v>0.67796610000000002</v>
      </c>
      <c r="E20" s="11">
        <v>0.75663027000000005</v>
      </c>
      <c r="F20" s="11">
        <v>0.63604240000000001</v>
      </c>
      <c r="G20" s="11">
        <v>0.71661238000000005</v>
      </c>
      <c r="H20" s="11">
        <v>0.73033707999999997</v>
      </c>
      <c r="I20" s="11">
        <v>0.66265059999999998</v>
      </c>
      <c r="J20" s="11">
        <v>0.68296796000000004</v>
      </c>
      <c r="K20" s="11">
        <v>0.68296796000000004</v>
      </c>
      <c r="L20" s="11">
        <v>0.69767442000000002</v>
      </c>
      <c r="M20" s="11">
        <v>0.71194763000000005</v>
      </c>
      <c r="N20" s="11">
        <v>0.66780821999999995</v>
      </c>
      <c r="O20" s="11">
        <v>0.69282136999999999</v>
      </c>
      <c r="P20" s="11">
        <v>0.63055061999999995</v>
      </c>
      <c r="Q20" s="11">
        <v>0.68791946000000004</v>
      </c>
      <c r="R20" s="11">
        <v>0.72123177000000005</v>
      </c>
      <c r="S20" s="11">
        <v>0.72123177000000005</v>
      </c>
    </row>
    <row r="21" spans="1:19" x14ac:dyDescent="0.25">
      <c r="A21" s="9" t="s">
        <v>37</v>
      </c>
      <c r="B21" s="11">
        <v>0.52062867999999995</v>
      </c>
      <c r="C21" s="11">
        <v>0.66265059999999998</v>
      </c>
      <c r="D21" s="11">
        <v>0.625</v>
      </c>
      <c r="E21" s="11">
        <v>0.66780821999999995</v>
      </c>
      <c r="F21" s="11">
        <v>0.69282136999999999</v>
      </c>
      <c r="G21" s="11">
        <v>0.64685314999999999</v>
      </c>
      <c r="H21" s="11">
        <v>0.68791946000000004</v>
      </c>
      <c r="I21" s="11">
        <v>0.75663027000000005</v>
      </c>
      <c r="J21" s="11">
        <v>0.73033707999999997</v>
      </c>
      <c r="K21" s="11">
        <v>0.72580644999999999</v>
      </c>
      <c r="L21" s="11">
        <v>0.76923076999999995</v>
      </c>
      <c r="M21" s="11">
        <v>0.71661238000000005</v>
      </c>
      <c r="N21" s="11">
        <v>0.76506954999999999</v>
      </c>
      <c r="O21" s="11">
        <v>0.71661238000000005</v>
      </c>
      <c r="P21" s="11">
        <v>0.72580644999999999</v>
      </c>
      <c r="Q21" s="11">
        <v>0.71194763000000005</v>
      </c>
      <c r="R21" s="11">
        <v>0.73926868000000001</v>
      </c>
      <c r="S21" s="11">
        <v>0.64685314999999999</v>
      </c>
    </row>
    <row r="22" spans="1:19" x14ac:dyDescent="0.25">
      <c r="A22" s="9" t="s">
        <v>38</v>
      </c>
      <c r="B22" s="11">
        <v>0.54702494999999995</v>
      </c>
      <c r="C22" s="11">
        <v>0.59040590000000004</v>
      </c>
      <c r="D22" s="11">
        <v>0.51383398999999996</v>
      </c>
      <c r="E22" s="11">
        <v>0.67291312000000003</v>
      </c>
      <c r="F22" s="11">
        <v>0.56603773999999996</v>
      </c>
      <c r="G22" s="11">
        <v>0.66780821999999995</v>
      </c>
      <c r="H22" s="11">
        <v>0.72580644999999999</v>
      </c>
      <c r="I22" s="11">
        <v>0.71194763000000005</v>
      </c>
      <c r="J22" s="11">
        <v>0.75235110000000005</v>
      </c>
      <c r="K22" s="11">
        <v>0.65743945000000004</v>
      </c>
      <c r="L22" s="11">
        <v>0.74367088999999997</v>
      </c>
      <c r="M22" s="11">
        <v>0.69282136999999999</v>
      </c>
      <c r="N22" s="11">
        <v>0.73482428</v>
      </c>
      <c r="O22" s="11">
        <v>0.67796610000000002</v>
      </c>
      <c r="P22" s="11">
        <v>0.63604240000000001</v>
      </c>
      <c r="Q22" s="11">
        <v>0.71661238000000005</v>
      </c>
      <c r="R22" s="11">
        <v>0.66265059999999998</v>
      </c>
      <c r="S22" s="11">
        <v>0.63604240000000001</v>
      </c>
    </row>
    <row r="23" spans="1:19" x14ac:dyDescent="0.25">
      <c r="A23" s="9" t="s">
        <v>39</v>
      </c>
      <c r="B23" s="11">
        <v>0.54054053999999996</v>
      </c>
      <c r="C23" s="11">
        <v>0.72123177000000005</v>
      </c>
      <c r="D23" s="11">
        <v>0.61371841000000005</v>
      </c>
      <c r="E23" s="11">
        <v>0.70723683999999998</v>
      </c>
      <c r="F23" s="11">
        <v>0.66265059999999998</v>
      </c>
      <c r="G23" s="11">
        <v>0.63604240000000001</v>
      </c>
      <c r="H23" s="11">
        <v>0.75663027000000005</v>
      </c>
      <c r="I23" s="11">
        <v>0.63604240000000001</v>
      </c>
      <c r="J23" s="11">
        <v>0.71661238000000005</v>
      </c>
      <c r="K23" s="11">
        <v>0.71194763000000005</v>
      </c>
      <c r="L23" s="11">
        <v>0.76506954999999999</v>
      </c>
      <c r="M23" s="11">
        <v>0.77743901999999998</v>
      </c>
      <c r="N23" s="11">
        <v>0.79731744000000004</v>
      </c>
      <c r="O23" s="11">
        <v>0.69282136999999999</v>
      </c>
      <c r="P23" s="11">
        <v>0.67291312000000003</v>
      </c>
      <c r="Q23" s="11">
        <v>0.64685314999999999</v>
      </c>
      <c r="R23" s="11">
        <v>0.63604240000000001</v>
      </c>
      <c r="S23" s="11">
        <v>0.66265059999999998</v>
      </c>
    </row>
    <row r="24" spans="1:19" x14ac:dyDescent="0.25">
      <c r="A24" s="9" t="s">
        <v>40</v>
      </c>
      <c r="B24" s="11">
        <v>0.54702494999999995</v>
      </c>
      <c r="C24" s="11">
        <v>0.64147626999999996</v>
      </c>
      <c r="D24" s="11">
        <v>0.65743945000000004</v>
      </c>
      <c r="E24" s="11">
        <v>0.78148709999999999</v>
      </c>
      <c r="F24" s="11">
        <v>0.68791946000000004</v>
      </c>
      <c r="G24" s="11">
        <v>0.69767442000000002</v>
      </c>
      <c r="H24" s="11">
        <v>0.69767442000000002</v>
      </c>
      <c r="I24" s="11">
        <v>0.72123177000000005</v>
      </c>
      <c r="J24" s="11">
        <v>0.75235110000000005</v>
      </c>
      <c r="K24" s="11">
        <v>0.68296796000000004</v>
      </c>
      <c r="L24" s="11">
        <v>0.73482428</v>
      </c>
      <c r="M24" s="11">
        <v>0.76086957</v>
      </c>
      <c r="N24" s="11">
        <v>0.67291312000000003</v>
      </c>
      <c r="O24" s="11">
        <v>0.72123177000000005</v>
      </c>
      <c r="P24" s="11">
        <v>0.69767442000000002</v>
      </c>
      <c r="Q24" s="11">
        <v>0.69282136999999999</v>
      </c>
      <c r="R24" s="11">
        <v>0.71194763000000005</v>
      </c>
      <c r="S24" s="11">
        <v>0.61938959000000005</v>
      </c>
    </row>
    <row r="25" spans="1:19" x14ac:dyDescent="0.25">
      <c r="A25" s="9" t="s">
        <v>41</v>
      </c>
      <c r="B25" s="11">
        <v>0.52734375</v>
      </c>
      <c r="C25" s="11">
        <v>0.57223265000000001</v>
      </c>
      <c r="D25" s="11">
        <v>0.59633027999999999</v>
      </c>
      <c r="E25" s="11">
        <v>0.61938959000000005</v>
      </c>
      <c r="F25" s="11">
        <v>0.69282136999999999</v>
      </c>
      <c r="G25" s="11">
        <v>0.70247934000000001</v>
      </c>
      <c r="H25" s="11">
        <v>0.71194763000000005</v>
      </c>
      <c r="I25" s="11">
        <v>0.68296796000000004</v>
      </c>
      <c r="J25" s="11">
        <v>0.74367088999999997</v>
      </c>
      <c r="K25" s="11">
        <v>0.75235110000000005</v>
      </c>
      <c r="L25" s="11">
        <v>0.65743945000000004</v>
      </c>
      <c r="M25" s="11">
        <v>0.68791946000000004</v>
      </c>
      <c r="N25" s="11">
        <v>0.68791946000000004</v>
      </c>
      <c r="O25" s="11">
        <v>0.73926868000000001</v>
      </c>
      <c r="P25" s="11">
        <v>0.75663027000000005</v>
      </c>
      <c r="Q25" s="11">
        <v>0.59633027999999999</v>
      </c>
      <c r="R25" s="11">
        <v>0.63604240000000001</v>
      </c>
      <c r="S25" s="11">
        <v>0.66265059999999998</v>
      </c>
    </row>
    <row r="26" spans="1:19" x14ac:dyDescent="0.25">
      <c r="A26" s="9" t="s">
        <v>42</v>
      </c>
      <c r="B26" s="11">
        <v>0.57835820999999998</v>
      </c>
      <c r="C26" s="11">
        <v>0.59040590000000004</v>
      </c>
      <c r="D26" s="11">
        <v>0.59633027999999999</v>
      </c>
      <c r="E26" s="11">
        <v>0.66780821999999995</v>
      </c>
      <c r="F26" s="11">
        <v>0.66780821999999995</v>
      </c>
      <c r="G26" s="11">
        <v>0.65743945000000004</v>
      </c>
      <c r="H26" s="11">
        <v>0.73482428</v>
      </c>
      <c r="I26" s="11">
        <v>0.75235110000000005</v>
      </c>
      <c r="J26" s="11">
        <v>0.66780821999999995</v>
      </c>
      <c r="K26" s="11">
        <v>0.77743901999999998</v>
      </c>
      <c r="L26" s="11">
        <v>0.70723683999999998</v>
      </c>
      <c r="M26" s="11">
        <v>0.70723683999999998</v>
      </c>
      <c r="N26" s="11">
        <v>0.72123177000000005</v>
      </c>
      <c r="O26" s="11">
        <v>0.76923076999999995</v>
      </c>
      <c r="P26" s="11">
        <v>0.67796610000000002</v>
      </c>
      <c r="Q26" s="11">
        <v>0.67796610000000002</v>
      </c>
      <c r="R26" s="11">
        <v>0.69767442000000002</v>
      </c>
      <c r="S26" s="11">
        <v>0.57223265000000001</v>
      </c>
    </row>
    <row r="27" spans="1:19" x14ac:dyDescent="0.25">
      <c r="A27" s="9" t="s">
        <v>43</v>
      </c>
      <c r="B27" s="11">
        <v>0.61938959000000005</v>
      </c>
      <c r="C27" s="11">
        <v>0.61938959000000005</v>
      </c>
      <c r="D27" s="11">
        <v>0.67291312000000003</v>
      </c>
      <c r="E27" s="11">
        <v>0.64147626999999996</v>
      </c>
      <c r="F27" s="11">
        <v>0.68296796000000004</v>
      </c>
      <c r="G27" s="11">
        <v>0.71661238000000005</v>
      </c>
      <c r="H27" s="11">
        <v>0.71661238000000005</v>
      </c>
      <c r="I27" s="11">
        <v>0.67291312000000003</v>
      </c>
      <c r="J27" s="11">
        <v>0.71194763000000005</v>
      </c>
      <c r="K27" s="11">
        <v>0.69767442000000002</v>
      </c>
      <c r="L27" s="11">
        <v>0.69767442000000002</v>
      </c>
      <c r="M27" s="11">
        <v>0.70247934000000001</v>
      </c>
      <c r="N27" s="11">
        <v>0.60218978000000001</v>
      </c>
      <c r="O27" s="11">
        <v>0.69767442000000002</v>
      </c>
      <c r="P27" s="11">
        <v>0.64147626999999996</v>
      </c>
      <c r="Q27" s="11">
        <v>0.71194763000000005</v>
      </c>
      <c r="R27" s="11">
        <v>0.64685314999999999</v>
      </c>
      <c r="S27" s="11">
        <v>0.65217391000000002</v>
      </c>
    </row>
    <row r="28" spans="1:19" x14ac:dyDescent="0.25">
      <c r="A28" s="9" t="s">
        <v>44</v>
      </c>
      <c r="B28" s="11">
        <v>0.60218978000000001</v>
      </c>
      <c r="C28" s="11">
        <v>0.60218978000000001</v>
      </c>
      <c r="D28" s="11">
        <v>0.61371841000000005</v>
      </c>
      <c r="E28" s="11">
        <v>0.66265059999999998</v>
      </c>
      <c r="F28" s="11">
        <v>0.67796610000000002</v>
      </c>
      <c r="G28" s="11">
        <v>0.71194763000000005</v>
      </c>
      <c r="H28" s="11">
        <v>0.625</v>
      </c>
      <c r="I28" s="11">
        <v>0.71194763000000005</v>
      </c>
      <c r="J28" s="11">
        <v>0.73033707999999997</v>
      </c>
      <c r="K28" s="11">
        <v>0.73033707999999997</v>
      </c>
      <c r="L28" s="11">
        <v>0.80118694000000001</v>
      </c>
      <c r="M28" s="11">
        <v>0.73033707999999997</v>
      </c>
      <c r="N28" s="11">
        <v>0.74803149999999996</v>
      </c>
      <c r="O28" s="11">
        <v>0.71661238000000005</v>
      </c>
      <c r="P28" s="11">
        <v>0.69767442000000002</v>
      </c>
      <c r="Q28" s="11">
        <v>0.71661238000000005</v>
      </c>
      <c r="R28" s="11">
        <v>0.64685314999999999</v>
      </c>
      <c r="S28" s="11">
        <v>0.67291312000000003</v>
      </c>
    </row>
    <row r="29" spans="1:19" x14ac:dyDescent="0.25">
      <c r="A29" s="9" t="s">
        <v>45</v>
      </c>
      <c r="B29" s="11">
        <v>0.48582996000000001</v>
      </c>
      <c r="C29" s="11">
        <v>0.625</v>
      </c>
      <c r="D29" s="11">
        <v>0.64147626999999996</v>
      </c>
      <c r="E29" s="11">
        <v>0.625</v>
      </c>
      <c r="F29" s="11">
        <v>0.68296796000000004</v>
      </c>
      <c r="G29" s="11">
        <v>0.63604240000000001</v>
      </c>
      <c r="H29" s="11">
        <v>0.70723683999999998</v>
      </c>
      <c r="I29" s="11">
        <v>0.73926868000000001</v>
      </c>
      <c r="J29" s="11">
        <v>0.69767442000000002</v>
      </c>
      <c r="K29" s="11">
        <v>0.73482428</v>
      </c>
      <c r="L29" s="11">
        <v>0.69282136999999999</v>
      </c>
      <c r="M29" s="11">
        <v>0.61371841000000005</v>
      </c>
      <c r="N29" s="11">
        <v>0.71661238000000005</v>
      </c>
      <c r="O29" s="11">
        <v>0.76086957</v>
      </c>
      <c r="P29" s="11">
        <v>0.69282136999999999</v>
      </c>
      <c r="Q29" s="11">
        <v>0.76086957</v>
      </c>
      <c r="R29" s="11">
        <v>0.66780821999999995</v>
      </c>
      <c r="S29" s="11">
        <v>0.66780821999999995</v>
      </c>
    </row>
    <row r="30" spans="1:19" x14ac:dyDescent="0.25">
      <c r="A30" s="9" t="s">
        <v>46</v>
      </c>
      <c r="B30" s="11">
        <v>0.5597723</v>
      </c>
      <c r="C30" s="11">
        <v>0.57223265000000001</v>
      </c>
      <c r="D30" s="11">
        <v>0.64147626999999996</v>
      </c>
      <c r="E30" s="11">
        <v>0.65743945000000004</v>
      </c>
      <c r="F30" s="11">
        <v>0.73482428</v>
      </c>
      <c r="G30" s="11">
        <v>0.68791946000000004</v>
      </c>
      <c r="H30" s="11">
        <v>0.71194763000000005</v>
      </c>
      <c r="I30" s="11">
        <v>0.75663027000000005</v>
      </c>
      <c r="J30" s="11">
        <v>0.75663027000000005</v>
      </c>
      <c r="K30" s="11">
        <v>0.73926868000000001</v>
      </c>
      <c r="L30" s="11">
        <v>0.65743945000000004</v>
      </c>
      <c r="M30" s="11">
        <v>0.73033707999999997</v>
      </c>
      <c r="N30" s="11">
        <v>0.71661238000000005</v>
      </c>
      <c r="O30" s="11">
        <v>0.60218978000000001</v>
      </c>
      <c r="P30" s="11">
        <v>0.77335374999999995</v>
      </c>
      <c r="Q30" s="11">
        <v>0.73482428</v>
      </c>
      <c r="R30" s="11">
        <v>0.65217391000000002</v>
      </c>
      <c r="S30" s="11">
        <v>0.66265059999999998</v>
      </c>
    </row>
    <row r="31" spans="1:19" x14ac:dyDescent="0.25">
      <c r="A31" s="9" t="s">
        <v>47</v>
      </c>
      <c r="B31" s="11">
        <v>0.5597723</v>
      </c>
      <c r="C31" s="11">
        <v>0.61371841000000005</v>
      </c>
      <c r="D31" s="11">
        <v>0.64147626999999996</v>
      </c>
      <c r="E31" s="11">
        <v>0.68296796000000004</v>
      </c>
      <c r="F31" s="11">
        <v>0.68296796000000004</v>
      </c>
      <c r="G31" s="11">
        <v>0.74803149999999996</v>
      </c>
      <c r="H31" s="11">
        <v>0.75663027000000005</v>
      </c>
      <c r="I31" s="11">
        <v>0.71194763000000005</v>
      </c>
      <c r="J31" s="11">
        <v>0.69282136999999999</v>
      </c>
      <c r="K31" s="11">
        <v>0.76086957</v>
      </c>
      <c r="L31" s="11">
        <v>0.74803149999999996</v>
      </c>
      <c r="M31" s="11">
        <v>0.67796610000000002</v>
      </c>
      <c r="N31" s="11">
        <v>0.73482428</v>
      </c>
      <c r="O31" s="11">
        <v>0.65743945000000004</v>
      </c>
      <c r="P31" s="11">
        <v>0.73926868000000001</v>
      </c>
      <c r="Q31" s="11">
        <v>0.68791946000000004</v>
      </c>
      <c r="R31" s="11">
        <v>0.60218978000000001</v>
      </c>
      <c r="S31" s="11">
        <v>0.69767442000000002</v>
      </c>
    </row>
    <row r="32" spans="1:19" x14ac:dyDescent="0.25">
      <c r="A32" s="9" t="s">
        <v>48</v>
      </c>
      <c r="B32" s="11">
        <f>AVERAGE(B2:B31)</f>
        <v>0.55004761866666674</v>
      </c>
      <c r="C32" s="11">
        <f t="shared" ref="C32:S32" si="0">AVERAGE(C2:C31)</f>
        <v>0.62470599933333326</v>
      </c>
      <c r="D32" s="11">
        <f t="shared" si="0"/>
        <v>0.62537816499999999</v>
      </c>
      <c r="E32" s="11">
        <f t="shared" si="0"/>
        <v>0.65603381399999994</v>
      </c>
      <c r="F32" s="11">
        <f t="shared" si="0"/>
        <v>0.67242654233333332</v>
      </c>
      <c r="G32" s="11">
        <f t="shared" si="0"/>
        <v>0.68031559733333336</v>
      </c>
      <c r="H32" s="11">
        <f t="shared" si="0"/>
        <v>0.70162843500000016</v>
      </c>
      <c r="I32" s="11">
        <f t="shared" si="0"/>
        <v>0.69947061533333321</v>
      </c>
      <c r="J32" s="11">
        <f t="shared" si="0"/>
        <v>0.7106031306666668</v>
      </c>
      <c r="K32" s="11">
        <f t="shared" si="0"/>
        <v>0.72386775399999992</v>
      </c>
      <c r="L32" s="11">
        <f t="shared" si="0"/>
        <v>0.73022259900000031</v>
      </c>
      <c r="M32" s="11">
        <f t="shared" si="0"/>
        <v>0.71043780233333342</v>
      </c>
      <c r="N32" s="11">
        <f t="shared" si="0"/>
        <v>0.71241498300000017</v>
      </c>
      <c r="O32" s="11">
        <f t="shared" si="0"/>
        <v>0.69690859199999999</v>
      </c>
      <c r="P32" s="11">
        <f t="shared" si="0"/>
        <v>0.69053420999999982</v>
      </c>
      <c r="Q32" s="11">
        <f t="shared" si="0"/>
        <v>0.67730815666666688</v>
      </c>
      <c r="R32" s="11">
        <f t="shared" si="0"/>
        <v>0.67783006333333318</v>
      </c>
      <c r="S32" s="11">
        <f t="shared" si="0"/>
        <v>0.66403331133333332</v>
      </c>
    </row>
    <row r="33" spans="1:19" x14ac:dyDescent="0.25">
      <c r="A33" s="9" t="s">
        <v>49</v>
      </c>
      <c r="B33" s="10">
        <f>_xlfn.STDEV.P(B2:B31)</f>
        <v>4.5646082524410547E-2</v>
      </c>
      <c r="C33" s="10">
        <f t="shared" ref="C33:S33" si="1">_xlfn.STDEV.P(C2:C31)</f>
        <v>3.2496784052870507E-2</v>
      </c>
      <c r="D33" s="10">
        <f t="shared" si="1"/>
        <v>3.1495138514911869E-2</v>
      </c>
      <c r="E33" s="10">
        <f t="shared" si="1"/>
        <v>4.7176991161090288E-2</v>
      </c>
      <c r="F33" s="10">
        <f t="shared" si="1"/>
        <v>3.45536340761297E-2</v>
      </c>
      <c r="G33" s="10">
        <f t="shared" si="1"/>
        <v>4.073239821186718E-2</v>
      </c>
      <c r="H33" s="10">
        <f t="shared" si="1"/>
        <v>3.1484054673239364E-2</v>
      </c>
      <c r="I33" s="10">
        <f t="shared" si="1"/>
        <v>3.7012863035103427E-2</v>
      </c>
      <c r="J33" s="10">
        <f t="shared" si="1"/>
        <v>3.3875916853134666E-2</v>
      </c>
      <c r="K33" s="10">
        <f t="shared" si="1"/>
        <v>3.7571452083375693E-2</v>
      </c>
      <c r="L33" s="10">
        <f t="shared" si="1"/>
        <v>3.7201417635965364E-2</v>
      </c>
      <c r="M33" s="10">
        <f t="shared" si="1"/>
        <v>3.775514762481029E-2</v>
      </c>
      <c r="N33" s="10">
        <f t="shared" si="1"/>
        <v>3.8800534911813012E-2</v>
      </c>
      <c r="O33" s="10">
        <f t="shared" si="1"/>
        <v>3.7105484142834939E-2</v>
      </c>
      <c r="P33" s="10">
        <f t="shared" si="1"/>
        <v>4.0150058380065988E-2</v>
      </c>
      <c r="Q33" s="10">
        <f t="shared" si="1"/>
        <v>4.6738120263498009E-2</v>
      </c>
      <c r="R33" s="10">
        <f t="shared" si="1"/>
        <v>3.5891263042892987E-2</v>
      </c>
      <c r="S33" s="10">
        <f t="shared" si="1"/>
        <v>3.4828451481342247E-2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F6AB0-B1D5-4723-8D0A-18FD1E03AFFF}">
  <sheetPr codeName="Tabelle4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9" t="s">
        <v>75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x14ac:dyDescent="0.25">
      <c r="A2" s="9" t="s">
        <v>18</v>
      </c>
      <c r="B2" s="11">
        <v>0.44885176999999998</v>
      </c>
      <c r="C2" s="11">
        <v>0.48582996000000001</v>
      </c>
      <c r="D2" s="11">
        <v>0.47861506999999998</v>
      </c>
      <c r="E2" s="11">
        <v>0.47861506999999998</v>
      </c>
      <c r="F2" s="11">
        <v>0.48582996000000001</v>
      </c>
      <c r="G2" s="11">
        <v>0.5597723</v>
      </c>
      <c r="H2" s="11">
        <v>0.52062867999999995</v>
      </c>
      <c r="I2" s="11">
        <v>0.53398058000000004</v>
      </c>
      <c r="J2" s="11">
        <v>0.59040590000000004</v>
      </c>
      <c r="K2" s="11">
        <v>0.56603773999999996</v>
      </c>
      <c r="L2" s="11">
        <v>0.47861506999999998</v>
      </c>
      <c r="M2" s="11">
        <v>0.3930131</v>
      </c>
      <c r="N2" s="11">
        <v>0.49295774999999997</v>
      </c>
      <c r="O2" s="11">
        <v>0.3930131</v>
      </c>
      <c r="P2" s="11">
        <v>0.32258065000000002</v>
      </c>
      <c r="Q2" s="11">
        <v>0.45643154000000002</v>
      </c>
      <c r="R2" s="11">
        <v>0.45643154000000002</v>
      </c>
      <c r="S2" s="11">
        <v>0.32258065000000002</v>
      </c>
    </row>
    <row r="3" spans="1:19" x14ac:dyDescent="0.25">
      <c r="A3" s="9" t="s">
        <v>19</v>
      </c>
      <c r="B3" s="11">
        <v>0.40948276</v>
      </c>
      <c r="C3" s="11">
        <v>0.50695825000000005</v>
      </c>
      <c r="D3" s="11">
        <v>0.51383398999999996</v>
      </c>
      <c r="E3" s="11">
        <v>0.49295774999999997</v>
      </c>
      <c r="F3" s="11">
        <v>0.55343511000000001</v>
      </c>
      <c r="G3" s="11">
        <v>0.53398058000000004</v>
      </c>
      <c r="H3" s="11">
        <v>0.52062867999999995</v>
      </c>
      <c r="I3" s="11">
        <v>0.53398058000000004</v>
      </c>
      <c r="J3" s="11">
        <v>0.50695825000000005</v>
      </c>
      <c r="K3" s="11">
        <v>0.56603773999999996</v>
      </c>
      <c r="L3" s="11">
        <v>0.57223265000000001</v>
      </c>
      <c r="M3" s="11">
        <v>0.47131148</v>
      </c>
      <c r="N3" s="11">
        <v>0.47131148</v>
      </c>
      <c r="O3" s="11">
        <v>0.40948276</v>
      </c>
      <c r="P3" s="11">
        <v>0.38461538000000001</v>
      </c>
      <c r="Q3" s="11">
        <v>0.3930131</v>
      </c>
      <c r="R3" s="11">
        <v>0.50695825000000005</v>
      </c>
      <c r="S3" s="11">
        <v>0.46391753000000002</v>
      </c>
    </row>
    <row r="4" spans="1:19" x14ac:dyDescent="0.25">
      <c r="A4" s="9" t="s">
        <v>20</v>
      </c>
      <c r="B4" s="11">
        <v>0.50695825000000005</v>
      </c>
      <c r="C4" s="11">
        <v>0.41755889000000002</v>
      </c>
      <c r="D4" s="11">
        <v>0.47861506999999998</v>
      </c>
      <c r="E4" s="11">
        <v>0.58441558000000005</v>
      </c>
      <c r="F4" s="11">
        <v>0.48582996000000001</v>
      </c>
      <c r="G4" s="11">
        <v>0.49295774999999997</v>
      </c>
      <c r="H4" s="11">
        <v>0.54702494999999995</v>
      </c>
      <c r="I4" s="11">
        <v>0.47131148</v>
      </c>
      <c r="J4" s="11">
        <v>0.57223265000000001</v>
      </c>
      <c r="K4" s="11">
        <v>0.56603773999999996</v>
      </c>
      <c r="L4" s="11">
        <v>0.625</v>
      </c>
      <c r="M4" s="11">
        <v>0.49295774999999997</v>
      </c>
      <c r="N4" s="11">
        <v>0.57835820999999998</v>
      </c>
      <c r="O4" s="11">
        <v>0.40948276</v>
      </c>
      <c r="P4" s="11">
        <v>0.51383398999999996</v>
      </c>
      <c r="Q4" s="11">
        <v>0.47131148</v>
      </c>
      <c r="R4" s="11">
        <v>0.43340381</v>
      </c>
      <c r="S4" s="11">
        <v>0.47131148</v>
      </c>
    </row>
    <row r="5" spans="1:19" x14ac:dyDescent="0.25">
      <c r="A5" s="9" t="s">
        <v>21</v>
      </c>
      <c r="B5" s="11">
        <v>0.48582996000000001</v>
      </c>
      <c r="C5" s="11">
        <v>0.47861506999999998</v>
      </c>
      <c r="D5" s="11">
        <v>0.54054053999999996</v>
      </c>
      <c r="E5" s="11">
        <v>0.52062867999999995</v>
      </c>
      <c r="F5" s="11">
        <v>0.51383398999999996</v>
      </c>
      <c r="G5" s="11">
        <v>0.5</v>
      </c>
      <c r="H5" s="11">
        <v>0.53398058000000004</v>
      </c>
      <c r="I5" s="11">
        <v>0.57223265000000001</v>
      </c>
      <c r="J5" s="11">
        <v>0.5</v>
      </c>
      <c r="K5" s="11">
        <v>0.64147626999999996</v>
      </c>
      <c r="L5" s="11">
        <v>0.52734375</v>
      </c>
      <c r="M5" s="11">
        <v>0.47131148</v>
      </c>
      <c r="N5" s="11">
        <v>0.48582996000000001</v>
      </c>
      <c r="O5" s="11">
        <v>0.55343511000000001</v>
      </c>
      <c r="P5" s="11">
        <v>0.47131148</v>
      </c>
      <c r="Q5" s="11">
        <v>0.48582996000000001</v>
      </c>
      <c r="R5" s="11">
        <v>0.44885176999999998</v>
      </c>
      <c r="S5" s="11">
        <v>0.40130152000000002</v>
      </c>
    </row>
    <row r="6" spans="1:19" x14ac:dyDescent="0.25">
      <c r="A6" s="9" t="s">
        <v>22</v>
      </c>
      <c r="B6" s="11">
        <v>0.46391753000000002</v>
      </c>
      <c r="C6" s="11">
        <v>0.45643154000000002</v>
      </c>
      <c r="D6" s="11">
        <v>0.52734375</v>
      </c>
      <c r="E6" s="11">
        <v>0.48582996000000001</v>
      </c>
      <c r="F6" s="11">
        <v>0.52734375</v>
      </c>
      <c r="G6" s="11">
        <v>0.57223265000000001</v>
      </c>
      <c r="H6" s="11">
        <v>0.54054053999999996</v>
      </c>
      <c r="I6" s="11">
        <v>0.58441558000000005</v>
      </c>
      <c r="J6" s="11">
        <v>0.61371841000000005</v>
      </c>
      <c r="K6" s="11">
        <v>0.60218978000000001</v>
      </c>
      <c r="L6" s="11">
        <v>0.57835820999999998</v>
      </c>
      <c r="M6" s="11">
        <v>0.50695825000000005</v>
      </c>
      <c r="N6" s="11">
        <v>0.51383398999999996</v>
      </c>
      <c r="O6" s="11">
        <v>0.44117646999999999</v>
      </c>
      <c r="P6" s="11">
        <v>0.45643154000000002</v>
      </c>
      <c r="Q6" s="11">
        <v>0.50695825000000005</v>
      </c>
      <c r="R6" s="11">
        <v>0.50695825000000005</v>
      </c>
      <c r="S6" s="11">
        <v>0.49295774999999997</v>
      </c>
    </row>
    <row r="7" spans="1:19" x14ac:dyDescent="0.25">
      <c r="A7" s="9" t="s">
        <v>23</v>
      </c>
      <c r="B7" s="11">
        <v>0.47131148</v>
      </c>
      <c r="C7" s="11">
        <v>0.45643154000000002</v>
      </c>
      <c r="D7" s="11">
        <v>0.52062867999999995</v>
      </c>
      <c r="E7" s="11">
        <v>0.5597723</v>
      </c>
      <c r="F7" s="11">
        <v>0.56603773999999996</v>
      </c>
      <c r="G7" s="11">
        <v>0.5</v>
      </c>
      <c r="H7" s="11">
        <v>0.51383398999999996</v>
      </c>
      <c r="I7" s="11">
        <v>0.55343511000000001</v>
      </c>
      <c r="J7" s="11">
        <v>0.54702494999999995</v>
      </c>
      <c r="K7" s="11">
        <v>0.55343511000000001</v>
      </c>
      <c r="L7" s="11">
        <v>0.51383398999999996</v>
      </c>
      <c r="M7" s="11">
        <v>0.54054053999999996</v>
      </c>
      <c r="N7" s="11">
        <v>0.58441558000000005</v>
      </c>
      <c r="O7" s="11">
        <v>0.45643154000000002</v>
      </c>
      <c r="P7" s="11">
        <v>0.44885176999999998</v>
      </c>
      <c r="Q7" s="11">
        <v>0.40948276</v>
      </c>
      <c r="R7" s="11">
        <v>0.41755889000000002</v>
      </c>
      <c r="S7" s="11">
        <v>0.54054053999999996</v>
      </c>
    </row>
    <row r="8" spans="1:19" x14ac:dyDescent="0.25">
      <c r="A8" s="9" t="s">
        <v>24</v>
      </c>
      <c r="B8" s="11">
        <v>0.50695825000000005</v>
      </c>
      <c r="C8" s="11">
        <v>0.47131148</v>
      </c>
      <c r="D8" s="11">
        <v>0.5597723</v>
      </c>
      <c r="E8" s="11">
        <v>0.58441558000000005</v>
      </c>
      <c r="F8" s="11">
        <v>0.52734375</v>
      </c>
      <c r="G8" s="11">
        <v>0.51383398999999996</v>
      </c>
      <c r="H8" s="11">
        <v>0.60218978000000001</v>
      </c>
      <c r="I8" s="11">
        <v>0.5</v>
      </c>
      <c r="J8" s="11">
        <v>0.56603773999999996</v>
      </c>
      <c r="K8" s="11">
        <v>0.57835820999999998</v>
      </c>
      <c r="L8" s="11">
        <v>0.59040590000000004</v>
      </c>
      <c r="M8" s="11">
        <v>0.56603773999999996</v>
      </c>
      <c r="N8" s="11">
        <v>0.57835820999999998</v>
      </c>
      <c r="O8" s="11">
        <v>0.46391753000000002</v>
      </c>
      <c r="P8" s="11">
        <v>0.44117646999999999</v>
      </c>
      <c r="Q8" s="11">
        <v>0.48582996000000001</v>
      </c>
      <c r="R8" s="11">
        <v>0.43340381</v>
      </c>
      <c r="S8" s="11">
        <v>0.41755889000000002</v>
      </c>
    </row>
    <row r="9" spans="1:19" x14ac:dyDescent="0.25">
      <c r="A9" s="9" t="s">
        <v>25</v>
      </c>
      <c r="B9" s="11">
        <v>0.41755889000000002</v>
      </c>
      <c r="C9" s="11">
        <v>0.44885176999999998</v>
      </c>
      <c r="D9" s="11">
        <v>0.52734375</v>
      </c>
      <c r="E9" s="11">
        <v>0.56603773999999996</v>
      </c>
      <c r="F9" s="11">
        <v>0.54054053999999996</v>
      </c>
      <c r="G9" s="11">
        <v>0.52734375</v>
      </c>
      <c r="H9" s="11">
        <v>0.47861506999999998</v>
      </c>
      <c r="I9" s="11">
        <v>0.58441558000000005</v>
      </c>
      <c r="J9" s="11">
        <v>0.61371841000000005</v>
      </c>
      <c r="K9" s="11">
        <v>0.59040590000000004</v>
      </c>
      <c r="L9" s="11">
        <v>0.57835820999999998</v>
      </c>
      <c r="M9" s="11">
        <v>0.5597723</v>
      </c>
      <c r="N9" s="11">
        <v>0.45643154000000002</v>
      </c>
      <c r="O9" s="11">
        <v>0.46391753000000002</v>
      </c>
      <c r="P9" s="11">
        <v>0.55343511000000001</v>
      </c>
      <c r="Q9" s="11">
        <v>0.47861506999999998</v>
      </c>
      <c r="R9" s="11">
        <v>0.45643154000000002</v>
      </c>
      <c r="S9" s="11">
        <v>0.34090909000000003</v>
      </c>
    </row>
    <row r="10" spans="1:19" x14ac:dyDescent="0.25">
      <c r="A10" s="9" t="s">
        <v>26</v>
      </c>
      <c r="B10" s="11">
        <v>0.55343511000000001</v>
      </c>
      <c r="C10" s="11">
        <v>0.44117646999999999</v>
      </c>
      <c r="D10" s="11">
        <v>0.48582996000000001</v>
      </c>
      <c r="E10" s="11">
        <v>0.43340381</v>
      </c>
      <c r="F10" s="11">
        <v>0.57835820999999998</v>
      </c>
      <c r="G10" s="11">
        <v>0.54054053999999996</v>
      </c>
      <c r="H10" s="11">
        <v>0.65217391000000002</v>
      </c>
      <c r="I10" s="11">
        <v>0.59040590000000004</v>
      </c>
      <c r="J10" s="11">
        <v>0.58441558000000005</v>
      </c>
      <c r="K10" s="11">
        <v>0.5597723</v>
      </c>
      <c r="L10" s="11">
        <v>0.53398058000000004</v>
      </c>
      <c r="M10" s="11">
        <v>0.57223265000000001</v>
      </c>
      <c r="N10" s="11">
        <v>0.52062867999999995</v>
      </c>
      <c r="O10" s="11">
        <v>0.46391753000000002</v>
      </c>
      <c r="P10" s="11">
        <v>0.47861506999999998</v>
      </c>
      <c r="Q10" s="11">
        <v>0.40130152000000002</v>
      </c>
      <c r="R10" s="11">
        <v>0.48582996000000001</v>
      </c>
      <c r="S10" s="11">
        <v>0.37610619000000001</v>
      </c>
    </row>
    <row r="11" spans="1:19" x14ac:dyDescent="0.25">
      <c r="A11" s="9" t="s">
        <v>27</v>
      </c>
      <c r="B11" s="11">
        <v>0.46391753000000002</v>
      </c>
      <c r="C11" s="11">
        <v>0.51383398999999996</v>
      </c>
      <c r="D11" s="11">
        <v>0.42553191000000001</v>
      </c>
      <c r="E11" s="11">
        <v>0.52734375</v>
      </c>
      <c r="F11" s="11">
        <v>0.49295774999999997</v>
      </c>
      <c r="G11" s="11">
        <v>0.51383398999999996</v>
      </c>
      <c r="H11" s="11">
        <v>0.64685314999999999</v>
      </c>
      <c r="I11" s="11">
        <v>0.55343511000000001</v>
      </c>
      <c r="J11" s="11">
        <v>0.52062867999999995</v>
      </c>
      <c r="K11" s="11">
        <v>0.625</v>
      </c>
      <c r="L11" s="11">
        <v>0.52734375</v>
      </c>
      <c r="M11" s="11">
        <v>0.53398058000000004</v>
      </c>
      <c r="N11" s="11">
        <v>0.44885176999999998</v>
      </c>
      <c r="O11" s="11">
        <v>0.48582996000000001</v>
      </c>
      <c r="P11" s="11">
        <v>0.53398058000000004</v>
      </c>
      <c r="Q11" s="11">
        <v>0.41755889000000002</v>
      </c>
      <c r="R11" s="11">
        <v>0.45643154000000002</v>
      </c>
      <c r="S11" s="11">
        <v>0.40130152000000002</v>
      </c>
    </row>
    <row r="12" spans="1:19" x14ac:dyDescent="0.25">
      <c r="A12" s="9" t="s">
        <v>28</v>
      </c>
      <c r="B12" s="11">
        <v>0.45643154000000002</v>
      </c>
      <c r="C12" s="11">
        <v>0.48582996000000001</v>
      </c>
      <c r="D12" s="11">
        <v>0.50695825000000005</v>
      </c>
      <c r="E12" s="11">
        <v>0.52062867999999995</v>
      </c>
      <c r="F12" s="11">
        <v>0.49295774999999997</v>
      </c>
      <c r="G12" s="11">
        <v>0.60798547999999997</v>
      </c>
      <c r="H12" s="11">
        <v>0.59040590000000004</v>
      </c>
      <c r="I12" s="11">
        <v>0.57835820999999998</v>
      </c>
      <c r="J12" s="11">
        <v>0.57835820999999998</v>
      </c>
      <c r="K12" s="11">
        <v>0.625</v>
      </c>
      <c r="L12" s="11">
        <v>0.55343511000000001</v>
      </c>
      <c r="M12" s="11">
        <v>0.53398058000000004</v>
      </c>
      <c r="N12" s="11">
        <v>0.47861506999999998</v>
      </c>
      <c r="O12" s="11">
        <v>0.44117646999999999</v>
      </c>
      <c r="P12" s="11">
        <v>0.44885176999999998</v>
      </c>
      <c r="Q12" s="11">
        <v>0.40130152000000002</v>
      </c>
      <c r="R12" s="11">
        <v>0.49295774999999997</v>
      </c>
      <c r="S12" s="11">
        <v>0.35874439000000002</v>
      </c>
    </row>
    <row r="13" spans="1:19" x14ac:dyDescent="0.25">
      <c r="A13" s="9" t="s">
        <v>29</v>
      </c>
      <c r="B13" s="11">
        <v>0.51383398999999996</v>
      </c>
      <c r="C13" s="11">
        <v>0.47861506999999998</v>
      </c>
      <c r="D13" s="11">
        <v>0.5</v>
      </c>
      <c r="E13" s="11">
        <v>0.54054053999999996</v>
      </c>
      <c r="F13" s="11">
        <v>0.56603773999999996</v>
      </c>
      <c r="G13" s="11">
        <v>0.5597723</v>
      </c>
      <c r="H13" s="11">
        <v>0.49295774999999997</v>
      </c>
      <c r="I13" s="11">
        <v>0.54702494999999995</v>
      </c>
      <c r="J13" s="11">
        <v>0.59040590000000004</v>
      </c>
      <c r="K13" s="11">
        <v>0.66780821999999995</v>
      </c>
      <c r="L13" s="11">
        <v>0.58441558000000005</v>
      </c>
      <c r="M13" s="11">
        <v>0.5597723</v>
      </c>
      <c r="N13" s="11">
        <v>0.5597723</v>
      </c>
      <c r="O13" s="11">
        <v>0.5</v>
      </c>
      <c r="P13" s="11">
        <v>0.44885176999999998</v>
      </c>
      <c r="Q13" s="11">
        <v>0.48582996000000001</v>
      </c>
      <c r="R13" s="11">
        <v>0.48582996000000001</v>
      </c>
      <c r="S13" s="11">
        <v>0.47861506999999998</v>
      </c>
    </row>
    <row r="14" spans="1:19" x14ac:dyDescent="0.25">
      <c r="A14" s="9" t="s">
        <v>30</v>
      </c>
      <c r="B14" s="11">
        <v>0.47131148</v>
      </c>
      <c r="C14" s="11">
        <v>0.44885176999999998</v>
      </c>
      <c r="D14" s="11">
        <v>0.54702494999999995</v>
      </c>
      <c r="E14" s="11">
        <v>0.46391753000000002</v>
      </c>
      <c r="F14" s="11">
        <v>0.59633027999999999</v>
      </c>
      <c r="G14" s="11">
        <v>0.61938959000000005</v>
      </c>
      <c r="H14" s="11">
        <v>0.55343511000000001</v>
      </c>
      <c r="I14" s="11">
        <v>0.47131148</v>
      </c>
      <c r="J14" s="11">
        <v>0.54054053999999996</v>
      </c>
      <c r="K14" s="11">
        <v>0.54054053999999996</v>
      </c>
      <c r="L14" s="11">
        <v>0.65217391000000002</v>
      </c>
      <c r="M14" s="11">
        <v>0.54702494999999995</v>
      </c>
      <c r="N14" s="11">
        <v>0.49295774999999997</v>
      </c>
      <c r="O14" s="11">
        <v>0.40948276</v>
      </c>
      <c r="P14" s="11">
        <v>0.37610619000000001</v>
      </c>
      <c r="Q14" s="11">
        <v>0.44117646999999999</v>
      </c>
      <c r="R14" s="11">
        <v>0.42553191000000001</v>
      </c>
      <c r="S14" s="11">
        <v>0.40948276</v>
      </c>
    </row>
    <row r="15" spans="1:19" x14ac:dyDescent="0.25">
      <c r="A15" s="9" t="s">
        <v>31</v>
      </c>
      <c r="B15" s="11">
        <v>0.46391753000000002</v>
      </c>
      <c r="C15" s="11">
        <v>0.54054053999999996</v>
      </c>
      <c r="D15" s="11">
        <v>0.47861506999999998</v>
      </c>
      <c r="E15" s="11">
        <v>0.50695825000000005</v>
      </c>
      <c r="F15" s="11">
        <v>0.40130152000000002</v>
      </c>
      <c r="G15" s="11">
        <v>0.54054053999999996</v>
      </c>
      <c r="H15" s="11">
        <v>0.52062867999999995</v>
      </c>
      <c r="I15" s="11">
        <v>0.53398058000000004</v>
      </c>
      <c r="J15" s="11">
        <v>0.5597723</v>
      </c>
      <c r="K15" s="11">
        <v>0.56603773999999996</v>
      </c>
      <c r="L15" s="11">
        <v>0.46391753000000002</v>
      </c>
      <c r="M15" s="11">
        <v>0.47131148</v>
      </c>
      <c r="N15" s="11">
        <v>0.46391753000000002</v>
      </c>
      <c r="O15" s="11">
        <v>0.55343511000000001</v>
      </c>
      <c r="P15" s="11">
        <v>0.48582996000000001</v>
      </c>
      <c r="Q15" s="11">
        <v>0.50695825000000005</v>
      </c>
      <c r="R15" s="11">
        <v>0.45643154000000002</v>
      </c>
      <c r="S15" s="11">
        <v>0.47131148</v>
      </c>
    </row>
    <row r="16" spans="1:19" x14ac:dyDescent="0.25">
      <c r="A16" s="9" t="s">
        <v>32</v>
      </c>
      <c r="B16" s="11">
        <v>0.51383398999999996</v>
      </c>
      <c r="C16" s="11">
        <v>0.55343511000000001</v>
      </c>
      <c r="D16" s="11">
        <v>0.47861506999999998</v>
      </c>
      <c r="E16" s="11">
        <v>0.44117646999999999</v>
      </c>
      <c r="F16" s="11">
        <v>0.54702494999999995</v>
      </c>
      <c r="G16" s="11">
        <v>0.63604240000000001</v>
      </c>
      <c r="H16" s="11">
        <v>0.5</v>
      </c>
      <c r="I16" s="11">
        <v>0.50695825000000005</v>
      </c>
      <c r="J16" s="11">
        <v>0.61371841000000005</v>
      </c>
      <c r="K16" s="11">
        <v>0.57223265000000001</v>
      </c>
      <c r="L16" s="11">
        <v>0.55343511000000001</v>
      </c>
      <c r="M16" s="11">
        <v>0.59633027999999999</v>
      </c>
      <c r="N16" s="11">
        <v>0.50695825000000005</v>
      </c>
      <c r="O16" s="11">
        <v>0.44117646999999999</v>
      </c>
      <c r="P16" s="11">
        <v>0.44117646999999999</v>
      </c>
      <c r="Q16" s="11">
        <v>0.40130152000000002</v>
      </c>
      <c r="R16" s="11">
        <v>0.44885176999999998</v>
      </c>
      <c r="S16" s="11">
        <v>0.48582996000000001</v>
      </c>
    </row>
    <row r="17" spans="1:19" x14ac:dyDescent="0.25">
      <c r="A17" s="9" t="s">
        <v>33</v>
      </c>
      <c r="B17" s="11">
        <v>0.42553191000000001</v>
      </c>
      <c r="C17" s="11">
        <v>0.48582996000000001</v>
      </c>
      <c r="D17" s="11">
        <v>0.48582996000000001</v>
      </c>
      <c r="E17" s="11">
        <v>0.5597723</v>
      </c>
      <c r="F17" s="11">
        <v>0.55343511000000001</v>
      </c>
      <c r="G17" s="11">
        <v>0.56603773999999996</v>
      </c>
      <c r="H17" s="11">
        <v>0.625</v>
      </c>
      <c r="I17" s="11">
        <v>0.52062867999999995</v>
      </c>
      <c r="J17" s="11">
        <v>0.59040590000000004</v>
      </c>
      <c r="K17" s="11">
        <v>0.625</v>
      </c>
      <c r="L17" s="11">
        <v>0.52062867999999995</v>
      </c>
      <c r="M17" s="11">
        <v>0.52062867999999995</v>
      </c>
      <c r="N17" s="11">
        <v>0.50695825000000005</v>
      </c>
      <c r="O17" s="11">
        <v>0.45643154000000002</v>
      </c>
      <c r="P17" s="11">
        <v>0.5</v>
      </c>
      <c r="Q17" s="11">
        <v>0.38461538000000001</v>
      </c>
      <c r="R17" s="11">
        <v>0.38461538000000001</v>
      </c>
      <c r="S17" s="11">
        <v>0.42553191000000001</v>
      </c>
    </row>
    <row r="18" spans="1:19" x14ac:dyDescent="0.25">
      <c r="A18" s="9" t="s">
        <v>34</v>
      </c>
      <c r="B18" s="11">
        <v>0.51383398999999996</v>
      </c>
      <c r="C18" s="11">
        <v>0.52734375</v>
      </c>
      <c r="D18" s="11">
        <v>0.46391753000000002</v>
      </c>
      <c r="E18" s="11">
        <v>0.5597723</v>
      </c>
      <c r="F18" s="11">
        <v>0.55343511000000001</v>
      </c>
      <c r="G18" s="11">
        <v>0.54054053999999996</v>
      </c>
      <c r="H18" s="11">
        <v>0.52734375</v>
      </c>
      <c r="I18" s="11">
        <v>0.55343511000000001</v>
      </c>
      <c r="J18" s="11">
        <v>0.52734375</v>
      </c>
      <c r="K18" s="11">
        <v>0.59040590000000004</v>
      </c>
      <c r="L18" s="11">
        <v>0.57835820999999998</v>
      </c>
      <c r="M18" s="11">
        <v>0.48582996000000001</v>
      </c>
      <c r="N18" s="11">
        <v>0.49295774999999997</v>
      </c>
      <c r="O18" s="11">
        <v>0.56603773999999996</v>
      </c>
      <c r="P18" s="11">
        <v>0.57835820999999998</v>
      </c>
      <c r="Q18" s="11">
        <v>0.43340381</v>
      </c>
      <c r="R18" s="11">
        <v>0.40130152000000002</v>
      </c>
      <c r="S18" s="11">
        <v>0.44885176999999998</v>
      </c>
    </row>
    <row r="19" spans="1:19" x14ac:dyDescent="0.25">
      <c r="A19" s="9" t="s">
        <v>35</v>
      </c>
      <c r="B19" s="11">
        <v>0.40130152000000002</v>
      </c>
      <c r="C19" s="11">
        <v>0.5597723</v>
      </c>
      <c r="D19" s="11">
        <v>0.48582996000000001</v>
      </c>
      <c r="E19" s="11">
        <v>0.47861506999999998</v>
      </c>
      <c r="F19" s="11">
        <v>0.54054053999999996</v>
      </c>
      <c r="G19" s="11">
        <v>0.58441558000000005</v>
      </c>
      <c r="H19" s="11">
        <v>0.57835820999999998</v>
      </c>
      <c r="I19" s="11">
        <v>0.60798547999999997</v>
      </c>
      <c r="J19" s="11">
        <v>0.5597723</v>
      </c>
      <c r="K19" s="11">
        <v>0.47861506999999998</v>
      </c>
      <c r="L19" s="11">
        <v>0.57835820999999998</v>
      </c>
      <c r="M19" s="11">
        <v>0.54702494999999995</v>
      </c>
      <c r="N19" s="11">
        <v>0.44885176999999998</v>
      </c>
      <c r="O19" s="11">
        <v>0.48582996000000001</v>
      </c>
      <c r="P19" s="11">
        <v>0.40130152000000002</v>
      </c>
      <c r="Q19" s="11">
        <v>0.42553191000000001</v>
      </c>
      <c r="R19" s="11">
        <v>0.38461538000000001</v>
      </c>
      <c r="S19" s="11">
        <v>0.46391753000000002</v>
      </c>
    </row>
    <row r="20" spans="1:19" x14ac:dyDescent="0.25">
      <c r="A20" s="9" t="s">
        <v>36</v>
      </c>
      <c r="B20" s="11">
        <v>0.53398058000000004</v>
      </c>
      <c r="C20" s="11">
        <v>0.44117646999999999</v>
      </c>
      <c r="D20" s="11">
        <v>0.41755889000000002</v>
      </c>
      <c r="E20" s="11">
        <v>0.52062867999999995</v>
      </c>
      <c r="F20" s="11">
        <v>0.58441558000000005</v>
      </c>
      <c r="G20" s="11">
        <v>0.55343511000000001</v>
      </c>
      <c r="H20" s="11">
        <v>0.41755889000000002</v>
      </c>
      <c r="I20" s="11">
        <v>0.60218978000000001</v>
      </c>
      <c r="J20" s="11">
        <v>0.67796610000000002</v>
      </c>
      <c r="K20" s="11">
        <v>0.59633027999999999</v>
      </c>
      <c r="L20" s="11">
        <v>0.57223265000000001</v>
      </c>
      <c r="M20" s="11">
        <v>0.52734375</v>
      </c>
      <c r="N20" s="11">
        <v>0.38461538000000001</v>
      </c>
      <c r="O20" s="11">
        <v>0.45643154000000002</v>
      </c>
      <c r="P20" s="11">
        <v>0.45643154000000002</v>
      </c>
      <c r="Q20" s="11">
        <v>0.47861506999999998</v>
      </c>
      <c r="R20" s="11">
        <v>0.3930131</v>
      </c>
      <c r="S20" s="11">
        <v>0.45643154000000002</v>
      </c>
    </row>
    <row r="21" spans="1:19" x14ac:dyDescent="0.25">
      <c r="A21" s="9" t="s">
        <v>37</v>
      </c>
      <c r="B21" s="11">
        <v>0.44885176999999998</v>
      </c>
      <c r="C21" s="11">
        <v>0.45643154000000002</v>
      </c>
      <c r="D21" s="11">
        <v>0.49295774999999997</v>
      </c>
      <c r="E21" s="11">
        <v>0.57223265000000001</v>
      </c>
      <c r="F21" s="11">
        <v>0.54702494999999995</v>
      </c>
      <c r="G21" s="11">
        <v>0.57223265000000001</v>
      </c>
      <c r="H21" s="11">
        <v>0.52734375</v>
      </c>
      <c r="I21" s="11">
        <v>0.44885176999999998</v>
      </c>
      <c r="J21" s="11">
        <v>0.59633027999999999</v>
      </c>
      <c r="K21" s="11">
        <v>0.58441558000000005</v>
      </c>
      <c r="L21" s="11">
        <v>0.57835820999999998</v>
      </c>
      <c r="M21" s="11">
        <v>0.5</v>
      </c>
      <c r="N21" s="11">
        <v>0.41755889000000002</v>
      </c>
      <c r="O21" s="11">
        <v>0.46391753000000002</v>
      </c>
      <c r="P21" s="11">
        <v>0.47861506999999998</v>
      </c>
      <c r="Q21" s="11">
        <v>0.37610619000000001</v>
      </c>
      <c r="R21" s="11">
        <v>0.44117646999999999</v>
      </c>
      <c r="S21" s="11">
        <v>0.51383398999999996</v>
      </c>
    </row>
    <row r="22" spans="1:19" x14ac:dyDescent="0.25">
      <c r="A22" s="9" t="s">
        <v>38</v>
      </c>
      <c r="B22" s="11">
        <v>0.43340381</v>
      </c>
      <c r="C22" s="11">
        <v>0.38461538000000001</v>
      </c>
      <c r="D22" s="11">
        <v>0.59040590000000004</v>
      </c>
      <c r="E22" s="11">
        <v>0.57223265000000001</v>
      </c>
      <c r="F22" s="11">
        <v>0.53398058000000004</v>
      </c>
      <c r="G22" s="11">
        <v>0.60218978000000001</v>
      </c>
      <c r="H22" s="11">
        <v>0.57835820999999998</v>
      </c>
      <c r="I22" s="11">
        <v>0.625</v>
      </c>
      <c r="J22" s="11">
        <v>0.54054053999999996</v>
      </c>
      <c r="K22" s="11">
        <v>0.59040590000000004</v>
      </c>
      <c r="L22" s="11">
        <v>0.52062867999999995</v>
      </c>
      <c r="M22" s="11">
        <v>0.45643154000000002</v>
      </c>
      <c r="N22" s="11">
        <v>0.43340381</v>
      </c>
      <c r="O22" s="11">
        <v>0.5597723</v>
      </c>
      <c r="P22" s="11">
        <v>0.52734375</v>
      </c>
      <c r="Q22" s="11">
        <v>0.45643154000000002</v>
      </c>
      <c r="R22" s="11">
        <v>0.47131148</v>
      </c>
      <c r="S22" s="11">
        <v>0.47861506999999998</v>
      </c>
    </row>
    <row r="23" spans="1:19" x14ac:dyDescent="0.25">
      <c r="A23" s="9" t="s">
        <v>39</v>
      </c>
      <c r="B23" s="11">
        <v>0.40130152000000002</v>
      </c>
      <c r="C23" s="11">
        <v>0.48582996000000001</v>
      </c>
      <c r="D23" s="11">
        <v>0.49295774999999997</v>
      </c>
      <c r="E23" s="11">
        <v>0.47861506999999998</v>
      </c>
      <c r="F23" s="11">
        <v>0.45643154000000002</v>
      </c>
      <c r="G23" s="11">
        <v>0.54054053999999996</v>
      </c>
      <c r="H23" s="11">
        <v>0.52062867999999995</v>
      </c>
      <c r="I23" s="11">
        <v>0.55343511000000001</v>
      </c>
      <c r="J23" s="11">
        <v>0.55343511000000001</v>
      </c>
      <c r="K23" s="11">
        <v>0.51383398999999996</v>
      </c>
      <c r="L23" s="11">
        <v>0.60218978000000001</v>
      </c>
      <c r="M23" s="11">
        <v>0.44117646999999999</v>
      </c>
      <c r="N23" s="11">
        <v>0.42553191000000001</v>
      </c>
      <c r="O23" s="11">
        <v>0.59040590000000004</v>
      </c>
      <c r="P23" s="11">
        <v>0.37610619000000001</v>
      </c>
      <c r="Q23" s="11">
        <v>0.40130152000000002</v>
      </c>
      <c r="R23" s="11">
        <v>0.51383398999999996</v>
      </c>
      <c r="S23" s="11">
        <v>0.42553191000000001</v>
      </c>
    </row>
    <row r="24" spans="1:19" x14ac:dyDescent="0.25">
      <c r="A24" s="9" t="s">
        <v>40</v>
      </c>
      <c r="B24" s="11">
        <v>0.47131148</v>
      </c>
      <c r="C24" s="11">
        <v>0.44117646999999999</v>
      </c>
      <c r="D24" s="11">
        <v>0.41755889000000002</v>
      </c>
      <c r="E24" s="11">
        <v>0.44885176999999998</v>
      </c>
      <c r="F24" s="11">
        <v>0.53398058000000004</v>
      </c>
      <c r="G24" s="11">
        <v>0.44885176999999998</v>
      </c>
      <c r="H24" s="11">
        <v>0.51383398999999996</v>
      </c>
      <c r="I24" s="11">
        <v>0.57835820999999998</v>
      </c>
      <c r="J24" s="11">
        <v>0.625</v>
      </c>
      <c r="K24" s="11">
        <v>0.47861506999999998</v>
      </c>
      <c r="L24" s="11">
        <v>0.58441558000000005</v>
      </c>
      <c r="M24" s="11">
        <v>0.40948276</v>
      </c>
      <c r="N24" s="11">
        <v>0.51383398999999996</v>
      </c>
      <c r="O24" s="11">
        <v>0.44117646999999999</v>
      </c>
      <c r="P24" s="11">
        <v>0.37610619000000001</v>
      </c>
      <c r="Q24" s="11">
        <v>0.43340381</v>
      </c>
      <c r="R24" s="11">
        <v>0.47861506999999998</v>
      </c>
      <c r="S24" s="11">
        <v>0.44117646999999999</v>
      </c>
    </row>
    <row r="25" spans="1:19" x14ac:dyDescent="0.25">
      <c r="A25" s="9" t="s">
        <v>41</v>
      </c>
      <c r="B25" s="11">
        <v>0.46391753000000002</v>
      </c>
      <c r="C25" s="11">
        <v>0.43340381</v>
      </c>
      <c r="D25" s="11">
        <v>0.52734375</v>
      </c>
      <c r="E25" s="11">
        <v>0.48582996000000001</v>
      </c>
      <c r="F25" s="11">
        <v>0.5597723</v>
      </c>
      <c r="G25" s="11">
        <v>0.59040590000000004</v>
      </c>
      <c r="H25" s="11">
        <v>0.54054053999999996</v>
      </c>
      <c r="I25" s="11">
        <v>0.50695825000000005</v>
      </c>
      <c r="J25" s="11">
        <v>0.55343511000000001</v>
      </c>
      <c r="K25" s="11">
        <v>0.55343511000000001</v>
      </c>
      <c r="L25" s="11">
        <v>0.60218978000000001</v>
      </c>
      <c r="M25" s="11">
        <v>0.49295774999999997</v>
      </c>
      <c r="N25" s="11">
        <v>0.44885176999999998</v>
      </c>
      <c r="O25" s="11">
        <v>0.48582996000000001</v>
      </c>
      <c r="P25" s="11">
        <v>0.3930131</v>
      </c>
      <c r="Q25" s="11">
        <v>0.43340381</v>
      </c>
      <c r="R25" s="11">
        <v>0.41755889000000002</v>
      </c>
      <c r="S25" s="11">
        <v>0.49295774999999997</v>
      </c>
    </row>
    <row r="26" spans="1:19" x14ac:dyDescent="0.25">
      <c r="A26" s="9" t="s">
        <v>42</v>
      </c>
      <c r="B26" s="11">
        <v>0.44885176999999998</v>
      </c>
      <c r="C26" s="11">
        <v>0.52734375</v>
      </c>
      <c r="D26" s="11">
        <v>0.52734375</v>
      </c>
      <c r="E26" s="11">
        <v>0.5597723</v>
      </c>
      <c r="F26" s="11">
        <v>0.47131148</v>
      </c>
      <c r="G26" s="11">
        <v>0.55343511000000001</v>
      </c>
      <c r="H26" s="11">
        <v>0.55343511000000001</v>
      </c>
      <c r="I26" s="11">
        <v>0.61938959000000005</v>
      </c>
      <c r="J26" s="11">
        <v>0.51383398999999996</v>
      </c>
      <c r="K26" s="11">
        <v>0.59633027999999999</v>
      </c>
      <c r="L26" s="11">
        <v>0.66780821999999995</v>
      </c>
      <c r="M26" s="11">
        <v>0.44885176999999998</v>
      </c>
      <c r="N26" s="11">
        <v>0.48582996000000001</v>
      </c>
      <c r="O26" s="11">
        <v>0.55343511000000001</v>
      </c>
      <c r="P26" s="11">
        <v>0.53398058000000004</v>
      </c>
      <c r="Q26" s="11">
        <v>0.37610619000000001</v>
      </c>
      <c r="R26" s="11">
        <v>0.36748330000000001</v>
      </c>
      <c r="S26" s="11">
        <v>0.37610619000000001</v>
      </c>
    </row>
    <row r="27" spans="1:19" x14ac:dyDescent="0.25">
      <c r="A27" s="9" t="s">
        <v>43</v>
      </c>
      <c r="B27" s="11">
        <v>0.54054053999999996</v>
      </c>
      <c r="C27" s="11">
        <v>0.46391753000000002</v>
      </c>
      <c r="D27" s="11">
        <v>0.47131148</v>
      </c>
      <c r="E27" s="11">
        <v>0.46391753000000002</v>
      </c>
      <c r="F27" s="11">
        <v>0.53398058000000004</v>
      </c>
      <c r="G27" s="11">
        <v>0.5</v>
      </c>
      <c r="H27" s="11">
        <v>0.54054053999999996</v>
      </c>
      <c r="I27" s="11">
        <v>0.52734375</v>
      </c>
      <c r="J27" s="11">
        <v>0.54702494999999995</v>
      </c>
      <c r="K27" s="11">
        <v>0.52062867999999995</v>
      </c>
      <c r="L27" s="11">
        <v>0.57835820999999998</v>
      </c>
      <c r="M27" s="11">
        <v>0.53398058000000004</v>
      </c>
      <c r="N27" s="11">
        <v>0.44885176999999998</v>
      </c>
      <c r="O27" s="11">
        <v>0.5</v>
      </c>
      <c r="P27" s="11">
        <v>0.47131148</v>
      </c>
      <c r="Q27" s="11">
        <v>0.38461538000000001</v>
      </c>
      <c r="R27" s="11">
        <v>0.43340381</v>
      </c>
      <c r="S27" s="11">
        <v>0.40130152000000002</v>
      </c>
    </row>
    <row r="28" spans="1:19" x14ac:dyDescent="0.25">
      <c r="A28" s="9" t="s">
        <v>44</v>
      </c>
      <c r="B28" s="11">
        <v>0.44117646999999999</v>
      </c>
      <c r="C28" s="11">
        <v>0.46391753000000002</v>
      </c>
      <c r="D28" s="11">
        <v>0.55343511000000001</v>
      </c>
      <c r="E28" s="11">
        <v>0.48582996000000001</v>
      </c>
      <c r="F28" s="11">
        <v>0.50695825000000005</v>
      </c>
      <c r="G28" s="11">
        <v>0.54702494999999995</v>
      </c>
      <c r="H28" s="11">
        <v>0.60218978000000001</v>
      </c>
      <c r="I28" s="11">
        <v>0.54702494999999995</v>
      </c>
      <c r="J28" s="11">
        <v>0.57223265000000001</v>
      </c>
      <c r="K28" s="11">
        <v>0.61371841000000005</v>
      </c>
      <c r="L28" s="11">
        <v>0.56603773999999996</v>
      </c>
      <c r="M28" s="11">
        <v>0.44117646999999999</v>
      </c>
      <c r="N28" s="11">
        <v>0.47131148</v>
      </c>
      <c r="O28" s="11">
        <v>0.48582996000000001</v>
      </c>
      <c r="P28" s="11">
        <v>0.41755889000000002</v>
      </c>
      <c r="Q28" s="11">
        <v>0.43340381</v>
      </c>
      <c r="R28" s="11">
        <v>0.43340381</v>
      </c>
      <c r="S28" s="11">
        <v>0.34988712999999999</v>
      </c>
    </row>
    <row r="29" spans="1:19" x14ac:dyDescent="0.25">
      <c r="A29" s="9" t="s">
        <v>45</v>
      </c>
      <c r="B29" s="11">
        <v>0.47131148</v>
      </c>
      <c r="C29" s="11">
        <v>0.44885176999999998</v>
      </c>
      <c r="D29" s="11">
        <v>0.51383398999999996</v>
      </c>
      <c r="E29" s="11">
        <v>0.49295774999999997</v>
      </c>
      <c r="F29" s="11">
        <v>0.54054053999999996</v>
      </c>
      <c r="G29" s="11">
        <v>0.47861506999999998</v>
      </c>
      <c r="H29" s="11">
        <v>0.60218978000000001</v>
      </c>
      <c r="I29" s="11">
        <v>0.55343511000000001</v>
      </c>
      <c r="J29" s="11">
        <v>0.58441558000000005</v>
      </c>
      <c r="K29" s="11">
        <v>0.63055061999999995</v>
      </c>
      <c r="L29" s="11">
        <v>0.59633027999999999</v>
      </c>
      <c r="M29" s="11">
        <v>0.52734375</v>
      </c>
      <c r="N29" s="11">
        <v>0.51383398999999996</v>
      </c>
      <c r="O29" s="11">
        <v>0.56603773999999996</v>
      </c>
      <c r="P29" s="11">
        <v>0.55343511000000001</v>
      </c>
      <c r="Q29" s="11">
        <v>0.3930131</v>
      </c>
      <c r="R29" s="11">
        <v>0.45643154000000002</v>
      </c>
      <c r="S29" s="11">
        <v>0.44885176999999998</v>
      </c>
    </row>
    <row r="30" spans="1:19" x14ac:dyDescent="0.25">
      <c r="A30" s="9" t="s">
        <v>46</v>
      </c>
      <c r="B30" s="11">
        <v>0.48582996000000001</v>
      </c>
      <c r="C30" s="11">
        <v>0.47861506999999998</v>
      </c>
      <c r="D30" s="11">
        <v>0.45643154000000002</v>
      </c>
      <c r="E30" s="11">
        <v>0.59633027999999999</v>
      </c>
      <c r="F30" s="11">
        <v>0.59040590000000004</v>
      </c>
      <c r="G30" s="11">
        <v>0.60798547999999997</v>
      </c>
      <c r="H30" s="11">
        <v>0.54054053999999996</v>
      </c>
      <c r="I30" s="11">
        <v>0.52062867999999995</v>
      </c>
      <c r="J30" s="11">
        <v>0.55343511000000001</v>
      </c>
      <c r="K30" s="11">
        <v>0.54054053999999996</v>
      </c>
      <c r="L30" s="11">
        <v>0.57835820999999998</v>
      </c>
      <c r="M30" s="11">
        <v>0.53398058000000004</v>
      </c>
      <c r="N30" s="11">
        <v>0.41755889000000002</v>
      </c>
      <c r="O30" s="11">
        <v>0.42553191000000001</v>
      </c>
      <c r="P30" s="11">
        <v>0.37610619000000001</v>
      </c>
      <c r="Q30" s="11">
        <v>0.47861506999999998</v>
      </c>
      <c r="R30" s="11">
        <v>0.40948276</v>
      </c>
      <c r="S30" s="11">
        <v>0.45643154000000002</v>
      </c>
    </row>
    <row r="31" spans="1:19" x14ac:dyDescent="0.25">
      <c r="A31" s="9" t="s">
        <v>47</v>
      </c>
      <c r="B31" s="11">
        <v>0.40948276</v>
      </c>
      <c r="C31" s="11">
        <v>0.54702494999999995</v>
      </c>
      <c r="D31" s="11">
        <v>0.50695825000000005</v>
      </c>
      <c r="E31" s="11">
        <v>0.51383398999999996</v>
      </c>
      <c r="F31" s="11">
        <v>0.56603773999999996</v>
      </c>
      <c r="G31" s="11">
        <v>0.53398058000000004</v>
      </c>
      <c r="H31" s="11">
        <v>0.46391753000000002</v>
      </c>
      <c r="I31" s="11">
        <v>0.56603773999999996</v>
      </c>
      <c r="J31" s="11">
        <v>0.61938959000000005</v>
      </c>
      <c r="K31" s="11">
        <v>0.59040590000000004</v>
      </c>
      <c r="L31" s="11">
        <v>0.52062867999999995</v>
      </c>
      <c r="M31" s="11">
        <v>0.49295774999999997</v>
      </c>
      <c r="N31" s="11">
        <v>0.52734375</v>
      </c>
      <c r="O31" s="11">
        <v>0.53398058000000004</v>
      </c>
      <c r="P31" s="11">
        <v>0.43340381</v>
      </c>
      <c r="Q31" s="11">
        <v>0.34988712999999999</v>
      </c>
      <c r="R31" s="11">
        <v>0.35874439000000002</v>
      </c>
      <c r="S31" s="11">
        <v>0.42553191000000001</v>
      </c>
    </row>
    <row r="32" spans="1:19" x14ac:dyDescent="0.25">
      <c r="A32" s="9" t="s">
        <v>48</v>
      </c>
      <c r="B32" s="11">
        <f>AVERAGE(B2:B31)</f>
        <v>0.46793923833333328</v>
      </c>
      <c r="C32" s="11">
        <f t="shared" ref="C32:S32" si="0">AVERAGE(C2:C31)</f>
        <v>0.47765072166666667</v>
      </c>
      <c r="D32" s="11">
        <f t="shared" si="0"/>
        <v>0.49909809533333349</v>
      </c>
      <c r="E32" s="11">
        <f t="shared" si="0"/>
        <v>0.5165277983333334</v>
      </c>
      <c r="F32" s="11">
        <f t="shared" si="0"/>
        <v>0.53158045933333342</v>
      </c>
      <c r="G32" s="11">
        <f t="shared" si="0"/>
        <v>0.54793055533333346</v>
      </c>
      <c r="H32" s="11">
        <f t="shared" si="0"/>
        <v>0.54485586899999994</v>
      </c>
      <c r="I32" s="11">
        <f t="shared" si="0"/>
        <v>0.54819827500000007</v>
      </c>
      <c r="J32" s="11">
        <f t="shared" si="0"/>
        <v>0.57041656300000021</v>
      </c>
      <c r="K32" s="11">
        <f t="shared" si="0"/>
        <v>0.57745337566666666</v>
      </c>
      <c r="L32" s="11">
        <f t="shared" si="0"/>
        <v>0.56592434899999988</v>
      </c>
      <c r="M32" s="11">
        <f t="shared" si="0"/>
        <v>0.50585674066666664</v>
      </c>
      <c r="N32" s="11">
        <f t="shared" si="0"/>
        <v>0.48568304766666665</v>
      </c>
      <c r="O32" s="11">
        <f t="shared" si="0"/>
        <v>0.48188411133333342</v>
      </c>
      <c r="P32" s="11">
        <f t="shared" si="0"/>
        <v>0.45595732766666669</v>
      </c>
      <c r="Q32" s="11">
        <f t="shared" si="0"/>
        <v>0.43271179899999995</v>
      </c>
      <c r="R32" s="11">
        <f t="shared" si="0"/>
        <v>0.44189510599999998</v>
      </c>
      <c r="S32" s="11">
        <f t="shared" si="0"/>
        <v>0.43458089400000005</v>
      </c>
    </row>
    <row r="33" spans="1:19" x14ac:dyDescent="0.25">
      <c r="A33" s="9" t="s">
        <v>49</v>
      </c>
      <c r="B33" s="10">
        <f>_xlfn.STDEV.P(B2:B31)</f>
        <v>4.0923773992742982E-2</v>
      </c>
      <c r="C33" s="10">
        <f t="shared" ref="C33:S33" si="1">_xlfn.STDEV.P(C2:C31)</f>
        <v>4.12731858671712E-2</v>
      </c>
      <c r="D33" s="10">
        <f t="shared" si="1"/>
        <v>4.0008405723070968E-2</v>
      </c>
      <c r="E33" s="10">
        <f t="shared" si="1"/>
        <v>4.6014453787248132E-2</v>
      </c>
      <c r="F33" s="10">
        <f t="shared" si="1"/>
        <v>4.2243930667669315E-2</v>
      </c>
      <c r="G33" s="10">
        <f t="shared" si="1"/>
        <v>4.3168456483499373E-2</v>
      </c>
      <c r="H33" s="10">
        <f t="shared" si="1"/>
        <v>5.1511889890161575E-2</v>
      </c>
      <c r="I33" s="10">
        <f t="shared" si="1"/>
        <v>4.2698607270323603E-2</v>
      </c>
      <c r="J33" s="10">
        <f t="shared" si="1"/>
        <v>3.8907207915587771E-2</v>
      </c>
      <c r="K33" s="10">
        <f t="shared" si="1"/>
        <v>4.3504358681534572E-2</v>
      </c>
      <c r="L33" s="10">
        <f t="shared" si="1"/>
        <v>4.4164549761590635E-2</v>
      </c>
      <c r="M33" s="10">
        <f t="shared" si="1"/>
        <v>4.882681673652884E-2</v>
      </c>
      <c r="N33" s="10">
        <f t="shared" si="1"/>
        <v>4.8948738204754531E-2</v>
      </c>
      <c r="O33" s="10">
        <f t="shared" si="1"/>
        <v>5.3994190385810457E-2</v>
      </c>
      <c r="P33" s="10">
        <f t="shared" si="1"/>
        <v>6.2407852532887192E-2</v>
      </c>
      <c r="Q33" s="10">
        <f t="shared" si="1"/>
        <v>4.2549486911175424E-2</v>
      </c>
      <c r="R33" s="10">
        <f t="shared" si="1"/>
        <v>4.0545734598442178E-2</v>
      </c>
      <c r="S33" s="10">
        <f t="shared" si="1"/>
        <v>5.2352359305618497E-2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015BD-3BD8-4FE9-88EA-DFAD6C545AC9}">
  <sheetPr codeName="Tabelle5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9" t="s">
        <v>77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x14ac:dyDescent="0.25">
      <c r="A2" s="9" t="s">
        <v>18</v>
      </c>
      <c r="B2" s="11">
        <v>0.69767442000000002</v>
      </c>
      <c r="C2" s="11">
        <v>0.71661238000000005</v>
      </c>
      <c r="D2" s="11">
        <v>0.71194763000000005</v>
      </c>
      <c r="E2" s="11">
        <v>0.76086957</v>
      </c>
      <c r="F2" s="11">
        <v>0.76506954999999999</v>
      </c>
      <c r="G2" s="11">
        <v>0.71661238000000005</v>
      </c>
      <c r="H2" s="11">
        <v>0.78148709999999999</v>
      </c>
      <c r="I2" s="11">
        <v>0.76086957</v>
      </c>
      <c r="J2" s="11">
        <v>0.75235110000000005</v>
      </c>
      <c r="K2" s="11">
        <v>0.72123177000000005</v>
      </c>
      <c r="L2" s="11">
        <v>0.76086957</v>
      </c>
      <c r="M2" s="11">
        <v>0.72123177000000005</v>
      </c>
      <c r="N2" s="11">
        <v>0.75235110000000005</v>
      </c>
      <c r="O2" s="11">
        <v>0.69282136999999999</v>
      </c>
      <c r="P2" s="11">
        <v>0.73926868000000001</v>
      </c>
      <c r="Q2" s="11">
        <v>0.69767442000000002</v>
      </c>
      <c r="R2" s="11">
        <v>0.69282136999999999</v>
      </c>
      <c r="S2" s="11">
        <v>0.66780821999999995</v>
      </c>
    </row>
    <row r="3" spans="1:19" x14ac:dyDescent="0.25">
      <c r="A3" s="9" t="s">
        <v>19</v>
      </c>
      <c r="B3" s="11">
        <v>0.74803149999999996</v>
      </c>
      <c r="C3" s="11">
        <v>0.68791946000000004</v>
      </c>
      <c r="D3" s="11">
        <v>0.76506954999999999</v>
      </c>
      <c r="E3" s="11">
        <v>0.73482428</v>
      </c>
      <c r="F3" s="11">
        <v>0.76506954999999999</v>
      </c>
      <c r="G3" s="11">
        <v>0.76086957</v>
      </c>
      <c r="H3" s="11">
        <v>0.75235110000000005</v>
      </c>
      <c r="I3" s="11">
        <v>0.75663027000000005</v>
      </c>
      <c r="J3" s="11">
        <v>0.73482428</v>
      </c>
      <c r="K3" s="11">
        <v>0.78549849000000005</v>
      </c>
      <c r="L3" s="11">
        <v>0.74367088999999997</v>
      </c>
      <c r="M3" s="11">
        <v>0.69767442000000002</v>
      </c>
      <c r="N3" s="11">
        <v>0.70723683999999998</v>
      </c>
      <c r="O3" s="11">
        <v>0.63604240000000001</v>
      </c>
      <c r="P3" s="11">
        <v>0.69767442000000002</v>
      </c>
      <c r="Q3" s="11">
        <v>0.73482428</v>
      </c>
      <c r="R3" s="11">
        <v>0.66780821999999995</v>
      </c>
      <c r="S3" s="11">
        <v>0.69767442000000002</v>
      </c>
    </row>
    <row r="4" spans="1:19" x14ac:dyDescent="0.25">
      <c r="A4" s="9" t="s">
        <v>20</v>
      </c>
      <c r="B4" s="11">
        <v>0.68791946000000004</v>
      </c>
      <c r="C4" s="11">
        <v>0.73926868000000001</v>
      </c>
      <c r="D4" s="11">
        <v>0.78549849000000005</v>
      </c>
      <c r="E4" s="11">
        <v>0.74803149999999996</v>
      </c>
      <c r="F4" s="11">
        <v>0.72123177000000005</v>
      </c>
      <c r="G4" s="11">
        <v>0.73033707999999997</v>
      </c>
      <c r="H4" s="11">
        <v>0.75235110000000005</v>
      </c>
      <c r="I4" s="11">
        <v>0.74367088999999997</v>
      </c>
      <c r="J4" s="11">
        <v>0.65743945000000004</v>
      </c>
      <c r="K4" s="11">
        <v>0.69282136999999999</v>
      </c>
      <c r="L4" s="11">
        <v>0.70723683999999998</v>
      </c>
      <c r="M4" s="11">
        <v>0.73033707999999997</v>
      </c>
      <c r="N4" s="11">
        <v>0.66265059999999998</v>
      </c>
      <c r="O4" s="11">
        <v>0.66265059999999998</v>
      </c>
      <c r="P4" s="11">
        <v>0.64685314999999999</v>
      </c>
      <c r="Q4" s="11">
        <v>0.69282136999999999</v>
      </c>
      <c r="R4" s="11">
        <v>0.67291312000000003</v>
      </c>
      <c r="S4" s="11">
        <v>0.69767442000000002</v>
      </c>
    </row>
    <row r="5" spans="1:19" x14ac:dyDescent="0.25">
      <c r="A5" s="9" t="s">
        <v>21</v>
      </c>
      <c r="B5" s="11">
        <v>0.70723683999999998</v>
      </c>
      <c r="C5" s="11">
        <v>0.70247934000000001</v>
      </c>
      <c r="D5" s="11">
        <v>0.77335374999999995</v>
      </c>
      <c r="E5" s="11">
        <v>0.79731744000000004</v>
      </c>
      <c r="F5" s="11">
        <v>0.72580644999999999</v>
      </c>
      <c r="G5" s="11">
        <v>0.75663027000000005</v>
      </c>
      <c r="H5" s="11">
        <v>0.73482428</v>
      </c>
      <c r="I5" s="11">
        <v>0.73926868000000001</v>
      </c>
      <c r="J5" s="11">
        <v>0.77743901999999998</v>
      </c>
      <c r="K5" s="11">
        <v>0.76923076999999995</v>
      </c>
      <c r="L5" s="11">
        <v>0.68791946000000004</v>
      </c>
      <c r="M5" s="11">
        <v>0.71661238000000005</v>
      </c>
      <c r="N5" s="11">
        <v>0.66265059999999998</v>
      </c>
      <c r="O5" s="11">
        <v>0.75663027000000005</v>
      </c>
      <c r="P5" s="11">
        <v>0.63604240000000001</v>
      </c>
      <c r="Q5" s="11">
        <v>0.71194763000000005</v>
      </c>
      <c r="R5" s="11">
        <v>0.70247934000000001</v>
      </c>
      <c r="S5" s="11">
        <v>0.67291312000000003</v>
      </c>
    </row>
    <row r="6" spans="1:19" x14ac:dyDescent="0.25">
      <c r="A6" s="9" t="s">
        <v>22</v>
      </c>
      <c r="B6" s="11">
        <v>0.67291312000000003</v>
      </c>
      <c r="C6" s="11">
        <v>0.74803149999999996</v>
      </c>
      <c r="D6" s="11">
        <v>0.71194763000000005</v>
      </c>
      <c r="E6" s="11">
        <v>0.67796610000000002</v>
      </c>
      <c r="F6" s="11">
        <v>0.76086957</v>
      </c>
      <c r="G6" s="11">
        <v>0.74803149999999996</v>
      </c>
      <c r="H6" s="11">
        <v>0.71194763000000005</v>
      </c>
      <c r="I6" s="11">
        <v>0.77743901999999998</v>
      </c>
      <c r="J6" s="11">
        <v>0.76086957</v>
      </c>
      <c r="K6" s="11">
        <v>0.78549849000000005</v>
      </c>
      <c r="L6" s="11">
        <v>0.77335374999999995</v>
      </c>
      <c r="M6" s="11">
        <v>0.72580644999999999</v>
      </c>
      <c r="N6" s="11">
        <v>0.68296796000000004</v>
      </c>
      <c r="O6" s="11">
        <v>0.69767442000000002</v>
      </c>
      <c r="P6" s="11">
        <v>0.64685314999999999</v>
      </c>
      <c r="Q6" s="11">
        <v>0.67796610000000002</v>
      </c>
      <c r="R6" s="11">
        <v>0.68791946000000004</v>
      </c>
      <c r="S6" s="11">
        <v>0.71661238000000005</v>
      </c>
    </row>
    <row r="7" spans="1:19" x14ac:dyDescent="0.25">
      <c r="A7" s="9" t="s">
        <v>23</v>
      </c>
      <c r="B7" s="11">
        <v>0.70247934000000001</v>
      </c>
      <c r="C7" s="11">
        <v>0.70723683999999998</v>
      </c>
      <c r="D7" s="11">
        <v>0.73482428</v>
      </c>
      <c r="E7" s="11">
        <v>0.74367088999999997</v>
      </c>
      <c r="F7" s="11">
        <v>0.80118694000000001</v>
      </c>
      <c r="G7" s="11">
        <v>0.81259150999999996</v>
      </c>
      <c r="H7" s="11">
        <v>0.75663027000000005</v>
      </c>
      <c r="I7" s="11">
        <v>0.76086957</v>
      </c>
      <c r="J7" s="11">
        <v>0.74367088999999997</v>
      </c>
      <c r="K7" s="11">
        <v>0.69767442000000002</v>
      </c>
      <c r="L7" s="11">
        <v>0.72580644999999999</v>
      </c>
      <c r="M7" s="11">
        <v>0.73926868000000001</v>
      </c>
      <c r="N7" s="11">
        <v>0.70247934000000001</v>
      </c>
      <c r="O7" s="11">
        <v>0.67796610000000002</v>
      </c>
      <c r="P7" s="11">
        <v>0.72580644999999999</v>
      </c>
      <c r="Q7" s="11">
        <v>0.73926868000000001</v>
      </c>
      <c r="R7" s="11">
        <v>0.67796610000000002</v>
      </c>
      <c r="S7" s="11">
        <v>0.69282136999999999</v>
      </c>
    </row>
    <row r="8" spans="1:19" x14ac:dyDescent="0.25">
      <c r="A8" s="9" t="s">
        <v>24</v>
      </c>
      <c r="B8" s="11">
        <v>0.73033707999999997</v>
      </c>
      <c r="C8" s="11">
        <v>0.70247934000000001</v>
      </c>
      <c r="D8" s="11">
        <v>0.67796610000000002</v>
      </c>
      <c r="E8" s="11">
        <v>0.80118694000000001</v>
      </c>
      <c r="F8" s="11">
        <v>0.75663027000000005</v>
      </c>
      <c r="G8" s="11">
        <v>0.75663027000000005</v>
      </c>
      <c r="H8" s="11">
        <v>0.71194763000000005</v>
      </c>
      <c r="I8" s="11">
        <v>0.77335374999999995</v>
      </c>
      <c r="J8" s="11">
        <v>0.72123177000000005</v>
      </c>
      <c r="K8" s="11">
        <v>0.76923076999999995</v>
      </c>
      <c r="L8" s="11">
        <v>0.72580644999999999</v>
      </c>
      <c r="M8" s="11">
        <v>0.72123177000000005</v>
      </c>
      <c r="N8" s="11">
        <v>0.75663027000000005</v>
      </c>
      <c r="O8" s="11">
        <v>0.71661238000000005</v>
      </c>
      <c r="P8" s="11">
        <v>0.66265059999999998</v>
      </c>
      <c r="Q8" s="11">
        <v>0.65743945000000004</v>
      </c>
      <c r="R8" s="11">
        <v>0.69282136999999999</v>
      </c>
      <c r="S8" s="11">
        <v>0.66265059999999998</v>
      </c>
    </row>
    <row r="9" spans="1:19" x14ac:dyDescent="0.25">
      <c r="A9" s="9" t="s">
        <v>25</v>
      </c>
      <c r="B9" s="11">
        <v>0.76086957</v>
      </c>
      <c r="C9" s="11">
        <v>0.72580644999999999</v>
      </c>
      <c r="D9" s="11">
        <v>0.71194763000000005</v>
      </c>
      <c r="E9" s="11">
        <v>0.71661238000000005</v>
      </c>
      <c r="F9" s="11">
        <v>0.75235110000000005</v>
      </c>
      <c r="G9" s="11">
        <v>0.76086957</v>
      </c>
      <c r="H9" s="11">
        <v>0.73926868000000001</v>
      </c>
      <c r="I9" s="11">
        <v>0.79731744000000004</v>
      </c>
      <c r="J9" s="11">
        <v>0.76086957</v>
      </c>
      <c r="K9" s="11">
        <v>0.74367088999999997</v>
      </c>
      <c r="L9" s="11">
        <v>0.70723683999999998</v>
      </c>
      <c r="M9" s="11">
        <v>0.68791946000000004</v>
      </c>
      <c r="N9" s="11">
        <v>0.69767442000000002</v>
      </c>
      <c r="O9" s="11">
        <v>0.68296796000000004</v>
      </c>
      <c r="P9" s="11">
        <v>0.68296796000000004</v>
      </c>
      <c r="Q9" s="11">
        <v>0.66780821999999995</v>
      </c>
      <c r="R9" s="11">
        <v>0.66265059999999998</v>
      </c>
      <c r="S9" s="11">
        <v>0.68791946000000004</v>
      </c>
    </row>
    <row r="10" spans="1:19" x14ac:dyDescent="0.25">
      <c r="A10" s="9" t="s">
        <v>26</v>
      </c>
      <c r="B10" s="11">
        <v>0.70247934000000001</v>
      </c>
      <c r="C10" s="11">
        <v>0.72580644999999999</v>
      </c>
      <c r="D10" s="11">
        <v>0.80118694000000001</v>
      </c>
      <c r="E10" s="11">
        <v>0.77335374999999995</v>
      </c>
      <c r="F10" s="11">
        <v>0.71661238000000005</v>
      </c>
      <c r="G10" s="11">
        <v>0.73033707999999997</v>
      </c>
      <c r="H10" s="11">
        <v>0.80118694000000001</v>
      </c>
      <c r="I10" s="11">
        <v>0.76506954999999999</v>
      </c>
      <c r="J10" s="11">
        <v>0.81259150999999996</v>
      </c>
      <c r="K10" s="11">
        <v>0.73482428</v>
      </c>
      <c r="L10" s="11">
        <v>0.72580644999999999</v>
      </c>
      <c r="M10" s="11">
        <v>0.71661238000000005</v>
      </c>
      <c r="N10" s="11">
        <v>0.73926868000000001</v>
      </c>
      <c r="O10" s="11">
        <v>0.67291312000000003</v>
      </c>
      <c r="P10" s="11">
        <v>0.71194763000000005</v>
      </c>
      <c r="Q10" s="11">
        <v>0.69282136999999999</v>
      </c>
      <c r="R10" s="11">
        <v>0.67796610000000002</v>
      </c>
      <c r="S10" s="11">
        <v>0.70247934000000001</v>
      </c>
    </row>
    <row r="11" spans="1:19" x14ac:dyDescent="0.25">
      <c r="A11" s="9" t="s">
        <v>27</v>
      </c>
      <c r="B11" s="11">
        <v>0.71194763000000005</v>
      </c>
      <c r="C11" s="11">
        <v>0.69767442000000002</v>
      </c>
      <c r="D11" s="11">
        <v>0.80502216000000004</v>
      </c>
      <c r="E11" s="11">
        <v>0.74367088999999997</v>
      </c>
      <c r="F11" s="11">
        <v>0.76086957</v>
      </c>
      <c r="G11" s="11">
        <v>0.76923076999999995</v>
      </c>
      <c r="H11" s="11">
        <v>0.80118694000000001</v>
      </c>
      <c r="I11" s="11">
        <v>0.75663027000000005</v>
      </c>
      <c r="J11" s="11">
        <v>0.75663027000000005</v>
      </c>
      <c r="K11" s="11">
        <v>0.77743901999999998</v>
      </c>
      <c r="L11" s="11">
        <v>0.76923076999999995</v>
      </c>
      <c r="M11" s="11">
        <v>0.64685314999999999</v>
      </c>
      <c r="N11" s="11">
        <v>0.64685314999999999</v>
      </c>
      <c r="O11" s="11">
        <v>0.65217391000000002</v>
      </c>
      <c r="P11" s="11">
        <v>0.64685314999999999</v>
      </c>
      <c r="Q11" s="11">
        <v>0.67796610000000002</v>
      </c>
      <c r="R11" s="11">
        <v>0.74803149999999996</v>
      </c>
      <c r="S11" s="11">
        <v>0.66780821999999995</v>
      </c>
    </row>
    <row r="12" spans="1:19" x14ac:dyDescent="0.25">
      <c r="A12" s="9" t="s">
        <v>28</v>
      </c>
      <c r="B12" s="11">
        <v>0.71194763000000005</v>
      </c>
      <c r="C12" s="11">
        <v>0.66780821999999995</v>
      </c>
      <c r="D12" s="11">
        <v>0.75235110000000005</v>
      </c>
      <c r="E12" s="11">
        <v>0.74803149999999996</v>
      </c>
      <c r="F12" s="11">
        <v>0.75235110000000005</v>
      </c>
      <c r="G12" s="11">
        <v>0.72123177000000005</v>
      </c>
      <c r="H12" s="11">
        <v>0.77743901999999998</v>
      </c>
      <c r="I12" s="11">
        <v>0.72580644999999999</v>
      </c>
      <c r="J12" s="11">
        <v>0.72123177000000005</v>
      </c>
      <c r="K12" s="11">
        <v>0.78947367999999996</v>
      </c>
      <c r="L12" s="11">
        <v>0.73926868000000001</v>
      </c>
      <c r="M12" s="11">
        <v>0.75663027000000005</v>
      </c>
      <c r="N12" s="11">
        <v>0.68791946000000004</v>
      </c>
      <c r="O12" s="11">
        <v>0.68791946000000004</v>
      </c>
      <c r="P12" s="11">
        <v>0.67291312000000003</v>
      </c>
      <c r="Q12" s="11">
        <v>0.76086957</v>
      </c>
      <c r="R12" s="11">
        <v>0.71661238000000005</v>
      </c>
      <c r="S12" s="11">
        <v>0.71194763000000005</v>
      </c>
    </row>
    <row r="13" spans="1:19" x14ac:dyDescent="0.25">
      <c r="A13" s="9" t="s">
        <v>29</v>
      </c>
      <c r="B13" s="11">
        <v>0.69767442000000002</v>
      </c>
      <c r="C13" s="11">
        <v>0.71194763000000005</v>
      </c>
      <c r="D13" s="11">
        <v>0.74367088999999997</v>
      </c>
      <c r="E13" s="11">
        <v>0.72580644999999999</v>
      </c>
      <c r="F13" s="11">
        <v>0.73033707999999997</v>
      </c>
      <c r="G13" s="11">
        <v>0.73482428</v>
      </c>
      <c r="H13" s="11">
        <v>0.77335374999999995</v>
      </c>
      <c r="I13" s="11">
        <v>0.72123177000000005</v>
      </c>
      <c r="J13" s="11">
        <v>0.75663027000000005</v>
      </c>
      <c r="K13" s="11">
        <v>0.78947367999999996</v>
      </c>
      <c r="L13" s="11">
        <v>0.71661238000000005</v>
      </c>
      <c r="M13" s="11">
        <v>0.69282136999999999</v>
      </c>
      <c r="N13" s="11">
        <v>0.66780821999999995</v>
      </c>
      <c r="O13" s="11">
        <v>0.63055061999999995</v>
      </c>
      <c r="P13" s="11">
        <v>0.69282136999999999</v>
      </c>
      <c r="Q13" s="11">
        <v>0.66780821999999995</v>
      </c>
      <c r="R13" s="11">
        <v>0.71194763000000005</v>
      </c>
      <c r="S13" s="11">
        <v>0.73033707999999997</v>
      </c>
    </row>
    <row r="14" spans="1:19" x14ac:dyDescent="0.25">
      <c r="A14" s="9" t="s">
        <v>30</v>
      </c>
      <c r="B14" s="11">
        <v>0.73033707999999997</v>
      </c>
      <c r="C14" s="11">
        <v>0.70247934000000001</v>
      </c>
      <c r="D14" s="11">
        <v>0.73926868000000001</v>
      </c>
      <c r="E14" s="11">
        <v>0.77743901999999998</v>
      </c>
      <c r="F14" s="11">
        <v>0.77743901999999998</v>
      </c>
      <c r="G14" s="11">
        <v>0.75235110000000005</v>
      </c>
      <c r="H14" s="11">
        <v>0.73926868000000001</v>
      </c>
      <c r="I14" s="11">
        <v>0.73033707999999997</v>
      </c>
      <c r="J14" s="11">
        <v>0.75235110000000005</v>
      </c>
      <c r="K14" s="11">
        <v>0.74367088999999997</v>
      </c>
      <c r="L14" s="11">
        <v>0.74803149999999996</v>
      </c>
      <c r="M14" s="11">
        <v>0.72123177000000005</v>
      </c>
      <c r="N14" s="11">
        <v>0.73033707999999997</v>
      </c>
      <c r="O14" s="11">
        <v>0.67291312000000003</v>
      </c>
      <c r="P14" s="11">
        <v>0.68296796000000004</v>
      </c>
      <c r="Q14" s="11">
        <v>0.70247934000000001</v>
      </c>
      <c r="R14" s="11">
        <v>0.73482428</v>
      </c>
      <c r="S14" s="11">
        <v>0.65743945000000004</v>
      </c>
    </row>
    <row r="15" spans="1:19" x14ac:dyDescent="0.25">
      <c r="A15" s="9" t="s">
        <v>31</v>
      </c>
      <c r="B15" s="11">
        <v>0.74367088999999997</v>
      </c>
      <c r="C15" s="11">
        <v>0.69282136999999999</v>
      </c>
      <c r="D15" s="11">
        <v>0.74803149999999996</v>
      </c>
      <c r="E15" s="11">
        <v>0.73033707999999997</v>
      </c>
      <c r="F15" s="11">
        <v>0.78947367999999996</v>
      </c>
      <c r="G15" s="11">
        <v>0.75663027000000005</v>
      </c>
      <c r="H15" s="11">
        <v>0.75235110000000005</v>
      </c>
      <c r="I15" s="11">
        <v>0.73926868000000001</v>
      </c>
      <c r="J15" s="11">
        <v>0.76086957</v>
      </c>
      <c r="K15" s="11">
        <v>0.77743901999999998</v>
      </c>
      <c r="L15" s="11">
        <v>0.70247934000000001</v>
      </c>
      <c r="M15" s="11">
        <v>0.72580644999999999</v>
      </c>
      <c r="N15" s="11">
        <v>0.68296796000000004</v>
      </c>
      <c r="O15" s="11">
        <v>0.70723683999999998</v>
      </c>
      <c r="P15" s="11">
        <v>0.70247934000000001</v>
      </c>
      <c r="Q15" s="11">
        <v>0.68296796000000004</v>
      </c>
      <c r="R15" s="11">
        <v>0.67291312000000003</v>
      </c>
      <c r="S15" s="11">
        <v>0.65217391000000002</v>
      </c>
    </row>
    <row r="16" spans="1:19" x14ac:dyDescent="0.25">
      <c r="A16" s="9" t="s">
        <v>32</v>
      </c>
      <c r="B16" s="11">
        <v>0.72123177000000005</v>
      </c>
      <c r="C16" s="11">
        <v>0.72123177000000005</v>
      </c>
      <c r="D16" s="11">
        <v>0.72123177000000005</v>
      </c>
      <c r="E16" s="11">
        <v>0.77743901999999998</v>
      </c>
      <c r="F16" s="11">
        <v>0.75235110000000005</v>
      </c>
      <c r="G16" s="11">
        <v>0.81632652999999999</v>
      </c>
      <c r="H16" s="11">
        <v>0.78148709999999999</v>
      </c>
      <c r="I16" s="11">
        <v>0.73926868000000001</v>
      </c>
      <c r="J16" s="11">
        <v>0.77743901999999998</v>
      </c>
      <c r="K16" s="11">
        <v>0.78947367999999996</v>
      </c>
      <c r="L16" s="11">
        <v>0.71194763000000005</v>
      </c>
      <c r="M16" s="11">
        <v>0.73482428</v>
      </c>
      <c r="N16" s="11">
        <v>0.71194763000000005</v>
      </c>
      <c r="O16" s="11">
        <v>0.68791946000000004</v>
      </c>
      <c r="P16" s="11">
        <v>0.65217391000000002</v>
      </c>
      <c r="Q16" s="11">
        <v>0.70247934000000001</v>
      </c>
      <c r="R16" s="11">
        <v>0.63604240000000001</v>
      </c>
      <c r="S16" s="11">
        <v>0.61938959000000005</v>
      </c>
    </row>
    <row r="17" spans="1:19" x14ac:dyDescent="0.25">
      <c r="A17" s="9" t="s">
        <v>33</v>
      </c>
      <c r="B17" s="11">
        <v>0.71194763000000005</v>
      </c>
      <c r="C17" s="11">
        <v>0.69767442000000002</v>
      </c>
      <c r="D17" s="11">
        <v>0.73033707999999997</v>
      </c>
      <c r="E17" s="11">
        <v>0.77743901999999998</v>
      </c>
      <c r="F17" s="11">
        <v>0.76086957</v>
      </c>
      <c r="G17" s="11">
        <v>0.72580644999999999</v>
      </c>
      <c r="H17" s="11">
        <v>0.74367088999999997</v>
      </c>
      <c r="I17" s="11">
        <v>0.74803149999999996</v>
      </c>
      <c r="J17" s="11">
        <v>0.76506954999999999</v>
      </c>
      <c r="K17" s="11">
        <v>0.74803149999999996</v>
      </c>
      <c r="L17" s="11">
        <v>0.71661238000000005</v>
      </c>
      <c r="M17" s="11">
        <v>0.69282136999999999</v>
      </c>
      <c r="N17" s="11">
        <v>0.68296796000000004</v>
      </c>
      <c r="O17" s="11">
        <v>0.68791946000000004</v>
      </c>
      <c r="P17" s="11">
        <v>0.68791946000000004</v>
      </c>
      <c r="Q17" s="11">
        <v>0.70723683999999998</v>
      </c>
      <c r="R17" s="11">
        <v>0.69767442000000002</v>
      </c>
      <c r="S17" s="11">
        <v>0.67796610000000002</v>
      </c>
    </row>
    <row r="18" spans="1:19" x14ac:dyDescent="0.25">
      <c r="A18" s="9" t="s">
        <v>34</v>
      </c>
      <c r="B18" s="11">
        <v>0.69767442000000002</v>
      </c>
      <c r="C18" s="11">
        <v>0.70247934000000001</v>
      </c>
      <c r="D18" s="11">
        <v>0.76923076999999995</v>
      </c>
      <c r="E18" s="11">
        <v>0.74367088999999997</v>
      </c>
      <c r="F18" s="11">
        <v>0.76506954999999999</v>
      </c>
      <c r="G18" s="11">
        <v>0.69767442000000002</v>
      </c>
      <c r="H18" s="11">
        <v>0.78549849000000005</v>
      </c>
      <c r="I18" s="11">
        <v>0.79341317</v>
      </c>
      <c r="J18" s="11">
        <v>0.75235110000000005</v>
      </c>
      <c r="K18" s="11">
        <v>0.76506954999999999</v>
      </c>
      <c r="L18" s="11">
        <v>0.71194763000000005</v>
      </c>
      <c r="M18" s="11">
        <v>0.73033707999999997</v>
      </c>
      <c r="N18" s="11">
        <v>0.68296796000000004</v>
      </c>
      <c r="O18" s="11">
        <v>0.66780821999999995</v>
      </c>
      <c r="P18" s="11">
        <v>0.77743901999999998</v>
      </c>
      <c r="Q18" s="11">
        <v>0.64147626999999996</v>
      </c>
      <c r="R18" s="11">
        <v>0.73033707999999997</v>
      </c>
      <c r="S18" s="11">
        <v>0.69282136999999999</v>
      </c>
    </row>
    <row r="19" spans="1:19" x14ac:dyDescent="0.25">
      <c r="A19" s="9" t="s">
        <v>35</v>
      </c>
      <c r="B19" s="11">
        <v>0.69282136999999999</v>
      </c>
      <c r="C19" s="11">
        <v>0.70723683999999998</v>
      </c>
      <c r="D19" s="11">
        <v>0.67796610000000002</v>
      </c>
      <c r="E19" s="11">
        <v>0.73926868000000001</v>
      </c>
      <c r="F19" s="11">
        <v>0.71661238000000005</v>
      </c>
      <c r="G19" s="11">
        <v>0.80502216000000004</v>
      </c>
      <c r="H19" s="11">
        <v>0.73926868000000001</v>
      </c>
      <c r="I19" s="11">
        <v>0.72123177000000005</v>
      </c>
      <c r="J19" s="11">
        <v>0.75235110000000005</v>
      </c>
      <c r="K19" s="11">
        <v>0.73482428</v>
      </c>
      <c r="L19" s="11">
        <v>0.69767442000000002</v>
      </c>
      <c r="M19" s="11">
        <v>0.72580644999999999</v>
      </c>
      <c r="N19" s="11">
        <v>0.66780821999999995</v>
      </c>
      <c r="O19" s="11">
        <v>0.69767442000000002</v>
      </c>
      <c r="P19" s="11">
        <v>0.64685314999999999</v>
      </c>
      <c r="Q19" s="11">
        <v>0.71661238000000005</v>
      </c>
      <c r="R19" s="11">
        <v>0.72123177000000005</v>
      </c>
      <c r="S19" s="11">
        <v>0.71661238000000005</v>
      </c>
    </row>
    <row r="20" spans="1:19" x14ac:dyDescent="0.25">
      <c r="A20" s="9" t="s">
        <v>36</v>
      </c>
      <c r="B20" s="11">
        <v>0.74803149999999996</v>
      </c>
      <c r="C20" s="11">
        <v>0.70723683999999998</v>
      </c>
      <c r="D20" s="11">
        <v>0.77335374999999995</v>
      </c>
      <c r="E20" s="11">
        <v>0.70723683999999998</v>
      </c>
      <c r="F20" s="11">
        <v>0.75235110000000005</v>
      </c>
      <c r="G20" s="11">
        <v>0.76086957</v>
      </c>
      <c r="H20" s="11">
        <v>0.79731744000000004</v>
      </c>
      <c r="I20" s="11">
        <v>0.73482428</v>
      </c>
      <c r="J20" s="11">
        <v>0.71194763000000005</v>
      </c>
      <c r="K20" s="11">
        <v>0.71194763000000005</v>
      </c>
      <c r="L20" s="11">
        <v>0.71661238000000005</v>
      </c>
      <c r="M20" s="11">
        <v>0.69282136999999999</v>
      </c>
      <c r="N20" s="11">
        <v>0.70247934000000001</v>
      </c>
      <c r="O20" s="11">
        <v>0.68791946000000004</v>
      </c>
      <c r="P20" s="11">
        <v>0.70723683999999998</v>
      </c>
      <c r="Q20" s="11">
        <v>0.67291312000000003</v>
      </c>
      <c r="R20" s="11">
        <v>0.67291312000000003</v>
      </c>
      <c r="S20" s="11">
        <v>0.65743945000000004</v>
      </c>
    </row>
    <row r="21" spans="1:19" x14ac:dyDescent="0.25">
      <c r="A21" s="9" t="s">
        <v>37</v>
      </c>
      <c r="B21" s="11">
        <v>0.70723683999999998</v>
      </c>
      <c r="C21" s="11">
        <v>0.68296796000000004</v>
      </c>
      <c r="D21" s="11">
        <v>0.73926868000000001</v>
      </c>
      <c r="E21" s="11">
        <v>0.74367088999999997</v>
      </c>
      <c r="F21" s="11">
        <v>0.73482428</v>
      </c>
      <c r="G21" s="11">
        <v>0.74367088999999997</v>
      </c>
      <c r="H21" s="11">
        <v>0.76506954999999999</v>
      </c>
      <c r="I21" s="11">
        <v>0.73033707999999997</v>
      </c>
      <c r="J21" s="11">
        <v>0.79341317</v>
      </c>
      <c r="K21" s="11">
        <v>0.70247934000000001</v>
      </c>
      <c r="L21" s="11">
        <v>0.74803149999999996</v>
      </c>
      <c r="M21" s="11">
        <v>0.70723683999999998</v>
      </c>
      <c r="N21" s="11">
        <v>0.73926868000000001</v>
      </c>
      <c r="O21" s="11">
        <v>0.70247934000000001</v>
      </c>
      <c r="P21" s="11">
        <v>0.66780821999999995</v>
      </c>
      <c r="Q21" s="11">
        <v>0.66780821999999995</v>
      </c>
      <c r="R21" s="11">
        <v>0.66265059999999998</v>
      </c>
      <c r="S21" s="11">
        <v>0.72580644999999999</v>
      </c>
    </row>
    <row r="22" spans="1:19" x14ac:dyDescent="0.25">
      <c r="A22" s="9" t="s">
        <v>38</v>
      </c>
      <c r="B22" s="11">
        <v>0.68791946000000004</v>
      </c>
      <c r="C22" s="11">
        <v>0.75663027000000005</v>
      </c>
      <c r="D22" s="11">
        <v>0.66780821999999995</v>
      </c>
      <c r="E22" s="11">
        <v>0.75663027000000005</v>
      </c>
      <c r="F22" s="11">
        <v>0.72123177000000005</v>
      </c>
      <c r="G22" s="11">
        <v>0.80882352999999996</v>
      </c>
      <c r="H22" s="11">
        <v>0.75663027000000005</v>
      </c>
      <c r="I22" s="11">
        <v>0.77743901999999998</v>
      </c>
      <c r="J22" s="11">
        <v>0.77743901999999998</v>
      </c>
      <c r="K22" s="11">
        <v>0.79341317</v>
      </c>
      <c r="L22" s="11">
        <v>0.69767442000000002</v>
      </c>
      <c r="M22" s="11">
        <v>0.73926868000000001</v>
      </c>
      <c r="N22" s="11">
        <v>0.70247934000000001</v>
      </c>
      <c r="O22" s="11">
        <v>0.72580644999999999</v>
      </c>
      <c r="P22" s="11">
        <v>0.66265059999999998</v>
      </c>
      <c r="Q22" s="11">
        <v>0.68296796000000004</v>
      </c>
      <c r="R22" s="11">
        <v>0.67796610000000002</v>
      </c>
      <c r="S22" s="11">
        <v>0.71661238000000005</v>
      </c>
    </row>
    <row r="23" spans="1:19" x14ac:dyDescent="0.25">
      <c r="A23" s="9" t="s">
        <v>39</v>
      </c>
      <c r="B23" s="11">
        <v>0.70247934000000001</v>
      </c>
      <c r="C23" s="11">
        <v>0.70247934000000001</v>
      </c>
      <c r="D23" s="11">
        <v>0.76923076999999995</v>
      </c>
      <c r="E23" s="11">
        <v>0.73926868000000001</v>
      </c>
      <c r="F23" s="11">
        <v>0.74367088999999997</v>
      </c>
      <c r="G23" s="11">
        <v>0.77335374999999995</v>
      </c>
      <c r="H23" s="11">
        <v>0.70723683999999998</v>
      </c>
      <c r="I23" s="11">
        <v>0.69282136999999999</v>
      </c>
      <c r="J23" s="11">
        <v>0.76506954999999999</v>
      </c>
      <c r="K23" s="11">
        <v>0.76923076999999995</v>
      </c>
      <c r="L23" s="11">
        <v>0.72580644999999999</v>
      </c>
      <c r="M23" s="11">
        <v>0.73033707999999997</v>
      </c>
      <c r="N23" s="11">
        <v>0.68791946000000004</v>
      </c>
      <c r="O23" s="11">
        <v>0.67796610000000002</v>
      </c>
      <c r="P23" s="11">
        <v>0.68791946000000004</v>
      </c>
      <c r="Q23" s="11">
        <v>0.65743945000000004</v>
      </c>
      <c r="R23" s="11">
        <v>0.69767442000000002</v>
      </c>
      <c r="S23" s="11">
        <v>0.71661238000000005</v>
      </c>
    </row>
    <row r="24" spans="1:19" x14ac:dyDescent="0.25">
      <c r="A24" s="9" t="s">
        <v>40</v>
      </c>
      <c r="B24" s="11">
        <v>0.70247934000000001</v>
      </c>
      <c r="C24" s="11">
        <v>0.75235110000000005</v>
      </c>
      <c r="D24" s="11">
        <v>0.73926868000000001</v>
      </c>
      <c r="E24" s="11">
        <v>0.73482428</v>
      </c>
      <c r="F24" s="11">
        <v>0.74367088999999997</v>
      </c>
      <c r="G24" s="11">
        <v>0.80118694000000001</v>
      </c>
      <c r="H24" s="11">
        <v>0.74367088999999997</v>
      </c>
      <c r="I24" s="11">
        <v>0.74803149999999996</v>
      </c>
      <c r="J24" s="11">
        <v>0.75663027000000005</v>
      </c>
      <c r="K24" s="11">
        <v>0.75235110000000005</v>
      </c>
      <c r="L24" s="11">
        <v>0.78947367999999996</v>
      </c>
      <c r="M24" s="11">
        <v>0.72580644999999999</v>
      </c>
      <c r="N24" s="11">
        <v>0.73033707999999997</v>
      </c>
      <c r="O24" s="11">
        <v>0.65743945000000004</v>
      </c>
      <c r="P24" s="11">
        <v>0.69767442000000002</v>
      </c>
      <c r="Q24" s="11">
        <v>0.65217391000000002</v>
      </c>
      <c r="R24" s="11">
        <v>0.61938959000000005</v>
      </c>
      <c r="S24" s="11">
        <v>0.67796610000000002</v>
      </c>
    </row>
    <row r="25" spans="1:19" x14ac:dyDescent="0.25">
      <c r="A25" s="9" t="s">
        <v>41</v>
      </c>
      <c r="B25" s="11">
        <v>0.67796610000000002</v>
      </c>
      <c r="C25" s="11">
        <v>0.65217391000000002</v>
      </c>
      <c r="D25" s="11">
        <v>0.70723683999999998</v>
      </c>
      <c r="E25" s="11">
        <v>0.74803149999999996</v>
      </c>
      <c r="F25" s="11">
        <v>0.73033707999999997</v>
      </c>
      <c r="G25" s="11">
        <v>0.79731744000000004</v>
      </c>
      <c r="H25" s="11">
        <v>0.81259150999999996</v>
      </c>
      <c r="I25" s="11">
        <v>0.74367088999999997</v>
      </c>
      <c r="J25" s="11">
        <v>0.77743901999999998</v>
      </c>
      <c r="K25" s="11">
        <v>0.74803149999999996</v>
      </c>
      <c r="L25" s="11">
        <v>0.67796610000000002</v>
      </c>
      <c r="M25" s="11">
        <v>0.67291312000000003</v>
      </c>
      <c r="N25" s="11">
        <v>0.74803149999999996</v>
      </c>
      <c r="O25" s="11">
        <v>0.69767442000000002</v>
      </c>
      <c r="P25" s="11">
        <v>0.69767442000000002</v>
      </c>
      <c r="Q25" s="11">
        <v>0.70247934000000001</v>
      </c>
      <c r="R25" s="11">
        <v>0.70247934000000001</v>
      </c>
      <c r="S25" s="11">
        <v>0.64685314999999999</v>
      </c>
    </row>
    <row r="26" spans="1:19" x14ac:dyDescent="0.25">
      <c r="A26" s="9" t="s">
        <v>42</v>
      </c>
      <c r="B26" s="11">
        <v>0.73926868000000001</v>
      </c>
      <c r="C26" s="11">
        <v>0.71661238000000005</v>
      </c>
      <c r="D26" s="11">
        <v>0.73482428</v>
      </c>
      <c r="E26" s="11">
        <v>0.76923076999999995</v>
      </c>
      <c r="F26" s="11">
        <v>0.76086957</v>
      </c>
      <c r="G26" s="11">
        <v>0.76086957</v>
      </c>
      <c r="H26" s="11">
        <v>0.73482428</v>
      </c>
      <c r="I26" s="11">
        <v>0.73033707999999997</v>
      </c>
      <c r="J26" s="11">
        <v>0.77335374999999995</v>
      </c>
      <c r="K26" s="11">
        <v>0.72580644999999999</v>
      </c>
      <c r="L26" s="11">
        <v>0.75235110000000005</v>
      </c>
      <c r="M26" s="11">
        <v>0.68791946000000004</v>
      </c>
      <c r="N26" s="11">
        <v>0.71194763000000005</v>
      </c>
      <c r="O26" s="11">
        <v>0.73926868000000001</v>
      </c>
      <c r="P26" s="11">
        <v>0.70247934000000001</v>
      </c>
      <c r="Q26" s="11">
        <v>0.625</v>
      </c>
      <c r="R26" s="11">
        <v>0.68296796000000004</v>
      </c>
      <c r="S26" s="11">
        <v>0.64147626999999996</v>
      </c>
    </row>
    <row r="27" spans="1:19" x14ac:dyDescent="0.25">
      <c r="A27" s="9" t="s">
        <v>43</v>
      </c>
      <c r="B27" s="11">
        <v>0.70247934000000001</v>
      </c>
      <c r="C27" s="11">
        <v>0.69767442000000002</v>
      </c>
      <c r="D27" s="11">
        <v>0.75235110000000005</v>
      </c>
      <c r="E27" s="11">
        <v>0.75663027000000005</v>
      </c>
      <c r="F27" s="11">
        <v>0.72123177000000005</v>
      </c>
      <c r="G27" s="11">
        <v>0.79341317</v>
      </c>
      <c r="H27" s="11">
        <v>0.76923076999999995</v>
      </c>
      <c r="I27" s="11">
        <v>0.78549849000000005</v>
      </c>
      <c r="J27" s="11">
        <v>0.76923076999999995</v>
      </c>
      <c r="K27" s="11">
        <v>0.75235110000000005</v>
      </c>
      <c r="L27" s="11">
        <v>0.72580644999999999</v>
      </c>
      <c r="M27" s="11">
        <v>0.74803149999999996</v>
      </c>
      <c r="N27" s="11">
        <v>0.72580644999999999</v>
      </c>
      <c r="O27" s="11">
        <v>0.72123177000000005</v>
      </c>
      <c r="P27" s="11">
        <v>0.70723683999999998</v>
      </c>
      <c r="Q27" s="11">
        <v>0.73482428</v>
      </c>
      <c r="R27" s="11">
        <v>0.75235110000000005</v>
      </c>
      <c r="S27" s="11">
        <v>0.73033707999999997</v>
      </c>
    </row>
    <row r="28" spans="1:19" x14ac:dyDescent="0.25">
      <c r="A28" s="9" t="s">
        <v>44</v>
      </c>
      <c r="B28" s="11">
        <v>0.68791946000000004</v>
      </c>
      <c r="C28" s="11">
        <v>0.67291312000000003</v>
      </c>
      <c r="D28" s="11">
        <v>0.73482428</v>
      </c>
      <c r="E28" s="11">
        <v>0.77335374999999995</v>
      </c>
      <c r="F28" s="11">
        <v>0.72123177000000005</v>
      </c>
      <c r="G28" s="11">
        <v>0.72123177000000005</v>
      </c>
      <c r="H28" s="11">
        <v>0.76506954999999999</v>
      </c>
      <c r="I28" s="11">
        <v>0.80502216000000004</v>
      </c>
      <c r="J28" s="11">
        <v>0.75663027000000005</v>
      </c>
      <c r="K28" s="11">
        <v>0.73033707999999997</v>
      </c>
      <c r="L28" s="11">
        <v>0.75235110000000005</v>
      </c>
      <c r="M28" s="11">
        <v>0.69767442000000002</v>
      </c>
      <c r="N28" s="11">
        <v>0.68296796000000004</v>
      </c>
      <c r="O28" s="11">
        <v>0.71194763000000005</v>
      </c>
      <c r="P28" s="11">
        <v>0.70723683999999998</v>
      </c>
      <c r="Q28" s="11">
        <v>0.69767442000000002</v>
      </c>
      <c r="R28" s="11">
        <v>0.68296796000000004</v>
      </c>
      <c r="S28" s="11">
        <v>0.66265059999999998</v>
      </c>
    </row>
    <row r="29" spans="1:19" x14ac:dyDescent="0.25">
      <c r="A29" s="9" t="s">
        <v>45</v>
      </c>
      <c r="B29" s="11">
        <v>0.73033707999999997</v>
      </c>
      <c r="C29" s="11">
        <v>0.72123177000000005</v>
      </c>
      <c r="D29" s="11">
        <v>0.73926868000000001</v>
      </c>
      <c r="E29" s="11">
        <v>0.71194763000000005</v>
      </c>
      <c r="F29" s="11">
        <v>0.74367088999999997</v>
      </c>
      <c r="G29" s="11">
        <v>0.72580644999999999</v>
      </c>
      <c r="H29" s="11">
        <v>0.74367088999999997</v>
      </c>
      <c r="I29" s="11">
        <v>0.78549849000000005</v>
      </c>
      <c r="J29" s="11">
        <v>0.77335374999999995</v>
      </c>
      <c r="K29" s="11">
        <v>0.76086957</v>
      </c>
      <c r="L29" s="11">
        <v>0.73482428</v>
      </c>
      <c r="M29" s="11">
        <v>0.69767442000000002</v>
      </c>
      <c r="N29" s="11">
        <v>0.70247934000000001</v>
      </c>
      <c r="O29" s="11">
        <v>0.64147626999999996</v>
      </c>
      <c r="P29" s="11">
        <v>0.68791946000000004</v>
      </c>
      <c r="Q29" s="11">
        <v>0.69282136999999999</v>
      </c>
      <c r="R29" s="11">
        <v>0.67796610000000002</v>
      </c>
      <c r="S29" s="11">
        <v>0.61938959000000005</v>
      </c>
    </row>
    <row r="30" spans="1:19" x14ac:dyDescent="0.25">
      <c r="A30" s="9" t="s">
        <v>46</v>
      </c>
      <c r="B30" s="11">
        <v>0.68791946000000004</v>
      </c>
      <c r="C30" s="11">
        <v>0.68296796000000004</v>
      </c>
      <c r="D30" s="11">
        <v>0.74367088999999997</v>
      </c>
      <c r="E30" s="11">
        <v>0.76923076999999995</v>
      </c>
      <c r="F30" s="11">
        <v>0.72580644999999999</v>
      </c>
      <c r="G30" s="11">
        <v>0.74803149999999996</v>
      </c>
      <c r="H30" s="11">
        <v>0.74803149999999996</v>
      </c>
      <c r="I30" s="11">
        <v>0.72580644999999999</v>
      </c>
      <c r="J30" s="11">
        <v>0.69282136999999999</v>
      </c>
      <c r="K30" s="11">
        <v>0.72123177000000005</v>
      </c>
      <c r="L30" s="11">
        <v>0.69767442000000002</v>
      </c>
      <c r="M30" s="11">
        <v>0.70247934000000001</v>
      </c>
      <c r="N30" s="11">
        <v>0.69282136999999999</v>
      </c>
      <c r="O30" s="11">
        <v>0.64147626999999996</v>
      </c>
      <c r="P30" s="11">
        <v>0.70247934000000001</v>
      </c>
      <c r="Q30" s="11">
        <v>0.64147626999999996</v>
      </c>
      <c r="R30" s="11">
        <v>0.65217391000000002</v>
      </c>
      <c r="S30" s="11">
        <v>0.69282136999999999</v>
      </c>
    </row>
    <row r="31" spans="1:19" x14ac:dyDescent="0.25">
      <c r="A31" s="9" t="s">
        <v>47</v>
      </c>
      <c r="B31" s="11">
        <v>0.69767442000000002</v>
      </c>
      <c r="C31" s="11">
        <v>0.67291312000000003</v>
      </c>
      <c r="D31" s="11">
        <v>0.73926868000000001</v>
      </c>
      <c r="E31" s="11">
        <v>0.67291312000000003</v>
      </c>
      <c r="F31" s="11">
        <v>0.71661238000000005</v>
      </c>
      <c r="G31" s="11">
        <v>0.77743901999999998</v>
      </c>
      <c r="H31" s="11">
        <v>0.79341317</v>
      </c>
      <c r="I31" s="11">
        <v>0.72123177000000005</v>
      </c>
      <c r="J31" s="11">
        <v>0.76923076999999995</v>
      </c>
      <c r="K31" s="11">
        <v>0.67796610000000002</v>
      </c>
      <c r="L31" s="11">
        <v>0.73033707999999997</v>
      </c>
      <c r="M31" s="11">
        <v>0.73926868000000001</v>
      </c>
      <c r="N31" s="11">
        <v>0.72580644999999999</v>
      </c>
      <c r="O31" s="11">
        <v>0.69767442000000002</v>
      </c>
      <c r="P31" s="11">
        <v>0.67291312000000003</v>
      </c>
      <c r="Q31" s="11">
        <v>0.64147626999999996</v>
      </c>
      <c r="R31" s="11">
        <v>0.72123177000000005</v>
      </c>
      <c r="S31" s="11">
        <v>0.67291312000000003</v>
      </c>
    </row>
    <row r="32" spans="1:19" x14ac:dyDescent="0.25">
      <c r="A32" s="9" t="s">
        <v>48</v>
      </c>
      <c r="B32" s="11">
        <f>AVERAGE(B2:B31)</f>
        <v>0.710030151</v>
      </c>
      <c r="C32" s="11">
        <f t="shared" ref="C32:S32" si="0">AVERAGE(C2:C31)</f>
        <v>0.70583819933333336</v>
      </c>
      <c r="D32" s="11">
        <f t="shared" si="0"/>
        <v>0.74004089666666661</v>
      </c>
      <c r="E32" s="11">
        <f t="shared" si="0"/>
        <v>0.7466634723333333</v>
      </c>
      <c r="F32" s="11">
        <f t="shared" si="0"/>
        <v>0.74619031566666671</v>
      </c>
      <c r="G32" s="11">
        <f t="shared" si="0"/>
        <v>0.75880068600000006</v>
      </c>
      <c r="H32" s="11">
        <f t="shared" si="0"/>
        <v>0.75907586800000015</v>
      </c>
      <c r="I32" s="11">
        <f t="shared" si="0"/>
        <v>0.75100755633333316</v>
      </c>
      <c r="J32" s="11">
        <f t="shared" si="0"/>
        <v>0.7544256749999998</v>
      </c>
      <c r="K32" s="11">
        <f t="shared" si="0"/>
        <v>0.74868640433333311</v>
      </c>
      <c r="L32" s="11">
        <f t="shared" si="0"/>
        <v>0.72734734633333342</v>
      </c>
      <c r="M32" s="11">
        <f t="shared" si="0"/>
        <v>0.71417526466666659</v>
      </c>
      <c r="N32" s="11">
        <f t="shared" si="0"/>
        <v>0.70259440166666665</v>
      </c>
      <c r="O32" s="11">
        <f t="shared" si="0"/>
        <v>0.68635847966666641</v>
      </c>
      <c r="P32" s="11">
        <f t="shared" si="0"/>
        <v>0.6871237939999999</v>
      </c>
      <c r="Q32" s="11">
        <f t="shared" si="0"/>
        <v>0.68671740499999989</v>
      </c>
      <c r="R32" s="11">
        <f t="shared" si="0"/>
        <v>0.69025640766666641</v>
      </c>
      <c r="S32" s="11">
        <f t="shared" si="0"/>
        <v>0.68286423333333357</v>
      </c>
    </row>
    <row r="33" spans="1:19" x14ac:dyDescent="0.25">
      <c r="A33" s="9" t="s">
        <v>49</v>
      </c>
      <c r="B33" s="10">
        <f>_xlfn.STDEV.P(B2:B31)</f>
        <v>2.1910308382875134E-2</v>
      </c>
      <c r="C33" s="10">
        <f t="shared" ref="C33:S33" si="1">_xlfn.STDEV.P(C2:C31)</f>
        <v>2.4135123159537145E-2</v>
      </c>
      <c r="D33" s="10">
        <f t="shared" si="1"/>
        <v>3.2594270701411958E-2</v>
      </c>
      <c r="E33" s="10">
        <f t="shared" si="1"/>
        <v>2.9539630800393745E-2</v>
      </c>
      <c r="F33" s="10">
        <f t="shared" si="1"/>
        <v>2.2109375300095598E-2</v>
      </c>
      <c r="G33" s="10">
        <f t="shared" si="1"/>
        <v>3.1215809618319323E-2</v>
      </c>
      <c r="H33" s="10">
        <f t="shared" si="1"/>
        <v>2.7040105581039853E-2</v>
      </c>
      <c r="I33" s="10">
        <f t="shared" si="1"/>
        <v>2.6451114674983674E-2</v>
      </c>
      <c r="J33" s="10">
        <f t="shared" si="1"/>
        <v>2.9593826061515224E-2</v>
      </c>
      <c r="K33" s="10">
        <f t="shared" si="1"/>
        <v>3.1663538417381648E-2</v>
      </c>
      <c r="L33" s="10">
        <f t="shared" si="1"/>
        <v>2.6030356125864962E-2</v>
      </c>
      <c r="M33" s="10">
        <f t="shared" si="1"/>
        <v>2.36173719755783E-2</v>
      </c>
      <c r="N33" s="10">
        <f t="shared" si="1"/>
        <v>2.8377392385595158E-2</v>
      </c>
      <c r="O33" s="10">
        <f t="shared" si="1"/>
        <v>2.9687004880496855E-2</v>
      </c>
      <c r="P33" s="10">
        <f t="shared" si="1"/>
        <v>3.0334187220984462E-2</v>
      </c>
      <c r="Q33" s="10">
        <f t="shared" si="1"/>
        <v>3.1748351143135588E-2</v>
      </c>
      <c r="R33" s="10">
        <f t="shared" si="1"/>
        <v>3.0194080812617638E-2</v>
      </c>
      <c r="S33" s="10">
        <f t="shared" si="1"/>
        <v>3.0396564402542528E-2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FF02-7BA3-4E57-B94E-97CE138E21C7}">
  <sheetPr codeName="Tabelle6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9" t="s">
        <v>78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x14ac:dyDescent="0.25">
      <c r="A2" s="9" t="s">
        <v>18</v>
      </c>
      <c r="B2" s="11">
        <v>0.49295774999999997</v>
      </c>
      <c r="C2" s="11">
        <v>0.48582996000000001</v>
      </c>
      <c r="D2" s="11">
        <v>0.47861506999999998</v>
      </c>
      <c r="E2" s="11">
        <v>0.53398058000000004</v>
      </c>
      <c r="F2" s="11">
        <v>0.63055061999999995</v>
      </c>
      <c r="G2" s="11">
        <v>0.61938959000000005</v>
      </c>
      <c r="H2" s="11">
        <v>0.72580644999999999</v>
      </c>
      <c r="I2" s="11">
        <v>0.625</v>
      </c>
      <c r="J2" s="11">
        <v>0.68296796000000004</v>
      </c>
      <c r="K2" s="11">
        <v>0.68791946000000004</v>
      </c>
      <c r="L2" s="11">
        <v>0.79731744000000004</v>
      </c>
      <c r="M2" s="11">
        <v>0.69282136999999999</v>
      </c>
      <c r="N2" s="11">
        <v>0.75663027000000005</v>
      </c>
      <c r="O2" s="11">
        <v>0.77335374999999995</v>
      </c>
      <c r="P2" s="11">
        <v>0.73033707999999997</v>
      </c>
      <c r="Q2" s="11">
        <v>0.76923076999999995</v>
      </c>
      <c r="R2" s="11">
        <v>0.76923076999999995</v>
      </c>
      <c r="S2" s="11">
        <v>0.75663027000000005</v>
      </c>
    </row>
    <row r="3" spans="1:19" x14ac:dyDescent="0.25">
      <c r="A3" s="9" t="s">
        <v>19</v>
      </c>
      <c r="B3" s="11">
        <v>0.52062867999999995</v>
      </c>
      <c r="C3" s="11">
        <v>0.46391753000000002</v>
      </c>
      <c r="D3" s="11">
        <v>0.51383398999999996</v>
      </c>
      <c r="E3" s="11">
        <v>0.3930131</v>
      </c>
      <c r="F3" s="11">
        <v>0.58441558000000005</v>
      </c>
      <c r="G3" s="11">
        <v>0.71661238000000005</v>
      </c>
      <c r="H3" s="11">
        <v>0.625</v>
      </c>
      <c r="I3" s="11">
        <v>0.70723683999999998</v>
      </c>
      <c r="J3" s="11">
        <v>0.67796610000000002</v>
      </c>
      <c r="K3" s="11">
        <v>0.71661238000000005</v>
      </c>
      <c r="L3" s="11">
        <v>0.77743901999999998</v>
      </c>
      <c r="M3" s="11">
        <v>0.67291312000000003</v>
      </c>
      <c r="N3" s="11">
        <v>0.73482428</v>
      </c>
      <c r="O3" s="11">
        <v>0.72123177000000005</v>
      </c>
      <c r="P3" s="11">
        <v>0.71661238000000005</v>
      </c>
      <c r="Q3" s="11">
        <v>0.69767442000000002</v>
      </c>
      <c r="R3" s="11">
        <v>0.70723683999999998</v>
      </c>
      <c r="S3" s="11">
        <v>0.72123177000000005</v>
      </c>
    </row>
    <row r="4" spans="1:19" x14ac:dyDescent="0.25">
      <c r="A4" s="9" t="s">
        <v>20</v>
      </c>
      <c r="B4" s="11">
        <v>0.51383398999999996</v>
      </c>
      <c r="C4" s="11">
        <v>0.46391753000000002</v>
      </c>
      <c r="D4" s="11">
        <v>0.54702494999999995</v>
      </c>
      <c r="E4" s="11">
        <v>0.42553191000000001</v>
      </c>
      <c r="F4" s="11">
        <v>0.625</v>
      </c>
      <c r="G4" s="11">
        <v>0.61938959000000005</v>
      </c>
      <c r="H4" s="11">
        <v>0.74803149999999996</v>
      </c>
      <c r="I4" s="11">
        <v>0.69282136999999999</v>
      </c>
      <c r="J4" s="11">
        <v>0.75235110000000005</v>
      </c>
      <c r="K4" s="11">
        <v>0.67796610000000002</v>
      </c>
      <c r="L4" s="11">
        <v>0.76923076999999995</v>
      </c>
      <c r="M4" s="11">
        <v>0.73926868000000001</v>
      </c>
      <c r="N4" s="11">
        <v>0.72123177000000005</v>
      </c>
      <c r="O4" s="11">
        <v>0.77743901999999998</v>
      </c>
      <c r="P4" s="11">
        <v>0.74803149999999996</v>
      </c>
      <c r="Q4" s="11">
        <v>0.72123177000000005</v>
      </c>
      <c r="R4" s="11">
        <v>0.75663027000000005</v>
      </c>
      <c r="S4" s="11">
        <v>0.76506954999999999</v>
      </c>
    </row>
    <row r="5" spans="1:19" x14ac:dyDescent="0.25">
      <c r="A5" s="9" t="s">
        <v>21</v>
      </c>
      <c r="B5" s="11">
        <v>0.44117646999999999</v>
      </c>
      <c r="C5" s="11">
        <v>0.44885176999999998</v>
      </c>
      <c r="D5" s="11">
        <v>0.48582996000000001</v>
      </c>
      <c r="E5" s="11">
        <v>0.55343511000000001</v>
      </c>
      <c r="F5" s="11">
        <v>0.64147626999999996</v>
      </c>
      <c r="G5" s="11">
        <v>0.66265059999999998</v>
      </c>
      <c r="H5" s="11">
        <v>0.66780821999999995</v>
      </c>
      <c r="I5" s="11">
        <v>0.70723683999999998</v>
      </c>
      <c r="J5" s="11">
        <v>0.70723683999999998</v>
      </c>
      <c r="K5" s="11">
        <v>0.67796610000000002</v>
      </c>
      <c r="L5" s="11">
        <v>0.78148709999999999</v>
      </c>
      <c r="M5" s="11">
        <v>0.72123177000000005</v>
      </c>
      <c r="N5" s="11">
        <v>0.79341317</v>
      </c>
      <c r="O5" s="11">
        <v>0.73033707999999997</v>
      </c>
      <c r="P5" s="11">
        <v>0.78148709999999999</v>
      </c>
      <c r="Q5" s="11">
        <v>0.63055061999999995</v>
      </c>
      <c r="R5" s="11">
        <v>0.70723683999999998</v>
      </c>
      <c r="S5" s="11">
        <v>0.73033707999999997</v>
      </c>
    </row>
    <row r="6" spans="1:19" x14ac:dyDescent="0.25">
      <c r="A6" s="9" t="s">
        <v>22</v>
      </c>
      <c r="B6" s="11">
        <v>0.49295774999999997</v>
      </c>
      <c r="C6" s="11">
        <v>0.5</v>
      </c>
      <c r="D6" s="11">
        <v>0.40130152000000002</v>
      </c>
      <c r="E6" s="11">
        <v>0.52734375</v>
      </c>
      <c r="F6" s="11">
        <v>0.65217391000000002</v>
      </c>
      <c r="G6" s="11">
        <v>0.66265059999999998</v>
      </c>
      <c r="H6" s="11">
        <v>0.67291312000000003</v>
      </c>
      <c r="I6" s="11">
        <v>0.70723683999999998</v>
      </c>
      <c r="J6" s="11">
        <v>0.66780821999999995</v>
      </c>
      <c r="K6" s="11">
        <v>0.72580644999999999</v>
      </c>
      <c r="L6" s="11">
        <v>0.74367088999999997</v>
      </c>
      <c r="M6" s="11">
        <v>0.76923076999999995</v>
      </c>
      <c r="N6" s="11">
        <v>0.80502216000000004</v>
      </c>
      <c r="O6" s="11">
        <v>0.78549849000000005</v>
      </c>
      <c r="P6" s="11">
        <v>0.78549849000000005</v>
      </c>
      <c r="Q6" s="11">
        <v>0.73926868000000001</v>
      </c>
      <c r="R6" s="11">
        <v>0.78148709999999999</v>
      </c>
      <c r="S6" s="11">
        <v>0.72123177000000005</v>
      </c>
    </row>
    <row r="7" spans="1:19" x14ac:dyDescent="0.25">
      <c r="A7" s="9" t="s">
        <v>23</v>
      </c>
      <c r="B7" s="11">
        <v>0.46391753000000002</v>
      </c>
      <c r="C7" s="11">
        <v>0.5</v>
      </c>
      <c r="D7" s="11">
        <v>0.53398058000000004</v>
      </c>
      <c r="E7" s="11">
        <v>0.54702494999999995</v>
      </c>
      <c r="F7" s="11">
        <v>0.63604240000000001</v>
      </c>
      <c r="G7" s="11">
        <v>0.67796610000000002</v>
      </c>
      <c r="H7" s="11">
        <v>0.68296796000000004</v>
      </c>
      <c r="I7" s="11">
        <v>0.76086957</v>
      </c>
      <c r="J7" s="11">
        <v>0.74367088999999997</v>
      </c>
      <c r="K7" s="11">
        <v>0.70247934000000001</v>
      </c>
      <c r="L7" s="11">
        <v>0.73033707999999997</v>
      </c>
      <c r="M7" s="11">
        <v>0.76506954999999999</v>
      </c>
      <c r="N7" s="11">
        <v>0.76506954999999999</v>
      </c>
      <c r="O7" s="11">
        <v>0.79731744000000004</v>
      </c>
      <c r="P7" s="11">
        <v>0.76086957</v>
      </c>
      <c r="Q7" s="11">
        <v>0.81632652999999999</v>
      </c>
      <c r="R7" s="11">
        <v>0.76086957</v>
      </c>
      <c r="S7" s="11">
        <v>0.71194763000000005</v>
      </c>
    </row>
    <row r="8" spans="1:19" x14ac:dyDescent="0.25">
      <c r="A8" s="9" t="s">
        <v>24</v>
      </c>
      <c r="B8" s="11">
        <v>0.51383398999999996</v>
      </c>
      <c r="C8" s="11">
        <v>0.49295774999999997</v>
      </c>
      <c r="D8" s="11">
        <v>0.54702494999999995</v>
      </c>
      <c r="E8" s="11">
        <v>0.52062867999999995</v>
      </c>
      <c r="F8" s="11">
        <v>0.61371841000000005</v>
      </c>
      <c r="G8" s="11">
        <v>0.61938959000000005</v>
      </c>
      <c r="H8" s="11">
        <v>0.63055061999999995</v>
      </c>
      <c r="I8" s="11">
        <v>0.73926868000000001</v>
      </c>
      <c r="J8" s="11">
        <v>0.67291312000000003</v>
      </c>
      <c r="K8" s="11">
        <v>0.73033707999999997</v>
      </c>
      <c r="L8" s="11">
        <v>0.75235110000000005</v>
      </c>
      <c r="M8" s="11">
        <v>0.72123177000000005</v>
      </c>
      <c r="N8" s="11">
        <v>0.73482428</v>
      </c>
      <c r="O8" s="11">
        <v>0.70247934000000001</v>
      </c>
      <c r="P8" s="11">
        <v>0.78148709999999999</v>
      </c>
      <c r="Q8" s="11">
        <v>0.77743901999999998</v>
      </c>
      <c r="R8" s="11">
        <v>0.74803149999999996</v>
      </c>
      <c r="S8" s="11">
        <v>0.76086957</v>
      </c>
    </row>
    <row r="9" spans="1:19" x14ac:dyDescent="0.25">
      <c r="A9" s="9" t="s">
        <v>25</v>
      </c>
      <c r="B9" s="11">
        <v>0.54054053999999996</v>
      </c>
      <c r="C9" s="11">
        <v>0.41755889000000002</v>
      </c>
      <c r="D9" s="11">
        <v>0.50695825000000005</v>
      </c>
      <c r="E9" s="11">
        <v>0.47131148</v>
      </c>
      <c r="F9" s="11">
        <v>0.57223265000000001</v>
      </c>
      <c r="G9" s="11">
        <v>0.625</v>
      </c>
      <c r="H9" s="11">
        <v>0.69282136999999999</v>
      </c>
      <c r="I9" s="11">
        <v>0.68791946000000004</v>
      </c>
      <c r="J9" s="11">
        <v>0.66265059999999998</v>
      </c>
      <c r="K9" s="11">
        <v>0.73482428</v>
      </c>
      <c r="L9" s="11">
        <v>0.73033707999999997</v>
      </c>
      <c r="M9" s="11">
        <v>0.72123177000000005</v>
      </c>
      <c r="N9" s="11">
        <v>0.76923076999999995</v>
      </c>
      <c r="O9" s="11">
        <v>0.70247934000000001</v>
      </c>
      <c r="P9" s="11">
        <v>0.74367088999999997</v>
      </c>
      <c r="Q9" s="11">
        <v>0.75663027000000005</v>
      </c>
      <c r="R9" s="11">
        <v>0.74367088999999997</v>
      </c>
      <c r="S9" s="11">
        <v>0.73033707999999997</v>
      </c>
    </row>
    <row r="10" spans="1:19" x14ac:dyDescent="0.25">
      <c r="A10" s="9" t="s">
        <v>26</v>
      </c>
      <c r="B10" s="11">
        <v>0.52734375</v>
      </c>
      <c r="C10" s="11">
        <v>0.49295774999999997</v>
      </c>
      <c r="D10" s="11">
        <v>0.54702494999999995</v>
      </c>
      <c r="E10" s="11">
        <v>0.43340381</v>
      </c>
      <c r="F10" s="11">
        <v>0.58441558000000005</v>
      </c>
      <c r="G10" s="11">
        <v>0.71194763000000005</v>
      </c>
      <c r="H10" s="11">
        <v>0.65743945000000004</v>
      </c>
      <c r="I10" s="11">
        <v>0.72580644999999999</v>
      </c>
      <c r="J10" s="11">
        <v>0.72580644999999999</v>
      </c>
      <c r="K10" s="11">
        <v>0.76506954999999999</v>
      </c>
      <c r="L10" s="11">
        <v>0.72580644999999999</v>
      </c>
      <c r="M10" s="11">
        <v>0.73033707999999997</v>
      </c>
      <c r="N10" s="11">
        <v>0.76086957</v>
      </c>
      <c r="O10" s="11">
        <v>0.79341317</v>
      </c>
      <c r="P10" s="11">
        <v>0.80118694000000001</v>
      </c>
      <c r="Q10" s="11">
        <v>0.74803149999999996</v>
      </c>
      <c r="R10" s="11">
        <v>0.63055061999999995</v>
      </c>
      <c r="S10" s="11">
        <v>0.65743945000000004</v>
      </c>
    </row>
    <row r="11" spans="1:19" x14ac:dyDescent="0.25">
      <c r="A11" s="9" t="s">
        <v>27</v>
      </c>
      <c r="B11" s="11">
        <v>0.57223265000000001</v>
      </c>
      <c r="C11" s="11">
        <v>0.5597723</v>
      </c>
      <c r="D11" s="11">
        <v>0.44117646999999999</v>
      </c>
      <c r="E11" s="11">
        <v>0.47131148</v>
      </c>
      <c r="F11" s="11">
        <v>0.60218978000000001</v>
      </c>
      <c r="G11" s="11">
        <v>0.61371841000000005</v>
      </c>
      <c r="H11" s="11">
        <v>0.65743945000000004</v>
      </c>
      <c r="I11" s="11">
        <v>0.64685314999999999</v>
      </c>
      <c r="J11" s="11">
        <v>0.66780821999999995</v>
      </c>
      <c r="K11" s="11">
        <v>0.73482428</v>
      </c>
      <c r="L11" s="11">
        <v>0.73926868000000001</v>
      </c>
      <c r="M11" s="11">
        <v>0.73926868000000001</v>
      </c>
      <c r="N11" s="11">
        <v>0.79731744000000004</v>
      </c>
      <c r="O11" s="11">
        <v>0.74803149999999996</v>
      </c>
      <c r="P11" s="11">
        <v>0.75663027000000005</v>
      </c>
      <c r="Q11" s="11">
        <v>0.78549849000000005</v>
      </c>
      <c r="R11" s="11">
        <v>0.76923076999999995</v>
      </c>
      <c r="S11" s="11">
        <v>0.73033707999999997</v>
      </c>
    </row>
    <row r="12" spans="1:19" x14ac:dyDescent="0.25">
      <c r="A12" s="9" t="s">
        <v>28</v>
      </c>
      <c r="B12" s="11">
        <v>0.54054053999999996</v>
      </c>
      <c r="C12" s="11">
        <v>0.44117646999999999</v>
      </c>
      <c r="D12" s="11">
        <v>0.48582996000000001</v>
      </c>
      <c r="E12" s="11">
        <v>0.50695825000000005</v>
      </c>
      <c r="F12" s="11">
        <v>0.57223265000000001</v>
      </c>
      <c r="G12" s="11">
        <v>0.57223265000000001</v>
      </c>
      <c r="H12" s="11">
        <v>0.70247934000000001</v>
      </c>
      <c r="I12" s="11">
        <v>0.70723683999999998</v>
      </c>
      <c r="J12" s="11">
        <v>0.66265059999999998</v>
      </c>
      <c r="K12" s="11">
        <v>0.73926868000000001</v>
      </c>
      <c r="L12" s="11">
        <v>0.80882352999999996</v>
      </c>
      <c r="M12" s="11">
        <v>0.76506954999999999</v>
      </c>
      <c r="N12" s="11">
        <v>0.77743901999999998</v>
      </c>
      <c r="O12" s="11">
        <v>0.79341317</v>
      </c>
      <c r="P12" s="11">
        <v>0.75663027000000005</v>
      </c>
      <c r="Q12" s="11">
        <v>0.75235110000000005</v>
      </c>
      <c r="R12" s="11">
        <v>0.75235110000000005</v>
      </c>
      <c r="S12" s="11">
        <v>0.78148709999999999</v>
      </c>
    </row>
    <row r="13" spans="1:19" x14ac:dyDescent="0.25">
      <c r="A13" s="9" t="s">
        <v>29</v>
      </c>
      <c r="B13" s="11">
        <v>0.51383398999999996</v>
      </c>
      <c r="C13" s="11">
        <v>0.53398058000000004</v>
      </c>
      <c r="D13" s="11">
        <v>0.51383398999999996</v>
      </c>
      <c r="E13" s="11">
        <v>0.41755889000000002</v>
      </c>
      <c r="F13" s="11">
        <v>0.63604240000000001</v>
      </c>
      <c r="G13" s="11">
        <v>0.69282136999999999</v>
      </c>
      <c r="H13" s="11">
        <v>0.69767442000000002</v>
      </c>
      <c r="I13" s="11">
        <v>0.64685314999999999</v>
      </c>
      <c r="J13" s="11">
        <v>0.71661238000000005</v>
      </c>
      <c r="K13" s="11">
        <v>0.68296796000000004</v>
      </c>
      <c r="L13" s="11">
        <v>0.70723683999999998</v>
      </c>
      <c r="M13" s="11">
        <v>0.76506954999999999</v>
      </c>
      <c r="N13" s="11">
        <v>0.78148709999999999</v>
      </c>
      <c r="O13" s="11">
        <v>0.75235110000000005</v>
      </c>
      <c r="P13" s="11">
        <v>0.78947367999999996</v>
      </c>
      <c r="Q13" s="11">
        <v>0.75663027000000005</v>
      </c>
      <c r="R13" s="11">
        <v>0.71194763000000005</v>
      </c>
      <c r="S13" s="11">
        <v>0.68791946000000004</v>
      </c>
    </row>
    <row r="14" spans="1:19" x14ac:dyDescent="0.25">
      <c r="A14" s="9" t="s">
        <v>30</v>
      </c>
      <c r="B14" s="11">
        <v>0.48582996000000001</v>
      </c>
      <c r="C14" s="11">
        <v>0.51383398999999996</v>
      </c>
      <c r="D14" s="11">
        <v>0.47131148</v>
      </c>
      <c r="E14" s="11">
        <v>0.47861506999999998</v>
      </c>
      <c r="F14" s="11">
        <v>0.66265059999999998</v>
      </c>
      <c r="G14" s="11">
        <v>0.625</v>
      </c>
      <c r="H14" s="11">
        <v>0.69282136999999999</v>
      </c>
      <c r="I14" s="11">
        <v>0.66265059999999998</v>
      </c>
      <c r="J14" s="11">
        <v>0.67796610000000002</v>
      </c>
      <c r="K14" s="11">
        <v>0.71661238000000005</v>
      </c>
      <c r="L14" s="11">
        <v>0.78947367999999996</v>
      </c>
      <c r="M14" s="11">
        <v>0.71661238000000005</v>
      </c>
      <c r="N14" s="11">
        <v>0.75663027000000005</v>
      </c>
      <c r="O14" s="11">
        <v>0.72123177000000005</v>
      </c>
      <c r="P14" s="11">
        <v>0.77335374999999995</v>
      </c>
      <c r="Q14" s="11">
        <v>0.77743901999999998</v>
      </c>
      <c r="R14" s="11">
        <v>0.74803149999999996</v>
      </c>
      <c r="S14" s="11">
        <v>0.81259150999999996</v>
      </c>
    </row>
    <row r="15" spans="1:19" x14ac:dyDescent="0.25">
      <c r="A15" s="9" t="s">
        <v>31</v>
      </c>
      <c r="B15" s="11">
        <v>0.47861506999999998</v>
      </c>
      <c r="C15" s="11">
        <v>0.57835820999999998</v>
      </c>
      <c r="D15" s="11">
        <v>0.3930131</v>
      </c>
      <c r="E15" s="11">
        <v>0.52062867999999995</v>
      </c>
      <c r="F15" s="11">
        <v>0.60218978000000001</v>
      </c>
      <c r="G15" s="11">
        <v>0.61938959000000005</v>
      </c>
      <c r="H15" s="11">
        <v>0.65217391000000002</v>
      </c>
      <c r="I15" s="11">
        <v>0.71661238000000005</v>
      </c>
      <c r="J15" s="11">
        <v>0.69767442000000002</v>
      </c>
      <c r="K15" s="11">
        <v>0.71661238000000005</v>
      </c>
      <c r="L15" s="11">
        <v>0.77743901999999998</v>
      </c>
      <c r="M15" s="11">
        <v>0.75663027000000005</v>
      </c>
      <c r="N15" s="11">
        <v>0.76086957</v>
      </c>
      <c r="O15" s="11">
        <v>0.77743901999999998</v>
      </c>
      <c r="P15" s="11">
        <v>0.70723683999999998</v>
      </c>
      <c r="Q15" s="11">
        <v>0.77743901999999998</v>
      </c>
      <c r="R15" s="11">
        <v>0.71661238000000005</v>
      </c>
      <c r="S15" s="11">
        <v>0.68296796000000004</v>
      </c>
    </row>
    <row r="16" spans="1:19" x14ac:dyDescent="0.25">
      <c r="A16" s="9" t="s">
        <v>32</v>
      </c>
      <c r="B16" s="11">
        <v>0.50695825000000005</v>
      </c>
      <c r="C16" s="11">
        <v>0.52062867999999995</v>
      </c>
      <c r="D16" s="11">
        <v>0.49295774999999997</v>
      </c>
      <c r="E16" s="11">
        <v>0.54054053999999996</v>
      </c>
      <c r="F16" s="11">
        <v>0.5597723</v>
      </c>
      <c r="G16" s="11">
        <v>0.72123177000000005</v>
      </c>
      <c r="H16" s="11">
        <v>0.61938959000000005</v>
      </c>
      <c r="I16" s="11">
        <v>0.76923076999999995</v>
      </c>
      <c r="J16" s="11">
        <v>0.73482428</v>
      </c>
      <c r="K16" s="11">
        <v>0.72123177000000005</v>
      </c>
      <c r="L16" s="11">
        <v>0.78148709999999999</v>
      </c>
      <c r="M16" s="11">
        <v>0.73482428</v>
      </c>
      <c r="N16" s="11">
        <v>0.76086957</v>
      </c>
      <c r="O16" s="11">
        <v>0.78148709999999999</v>
      </c>
      <c r="P16" s="11">
        <v>0.73033707999999997</v>
      </c>
      <c r="Q16" s="11">
        <v>0.73926868000000001</v>
      </c>
      <c r="R16" s="11">
        <v>0.71661238000000005</v>
      </c>
      <c r="S16" s="11">
        <v>0.67796610000000002</v>
      </c>
    </row>
    <row r="17" spans="1:19" x14ac:dyDescent="0.25">
      <c r="A17" s="9" t="s">
        <v>33</v>
      </c>
      <c r="B17" s="11">
        <v>0.49295774999999997</v>
      </c>
      <c r="C17" s="11">
        <v>0.52734375</v>
      </c>
      <c r="D17" s="11">
        <v>0.44885176999999998</v>
      </c>
      <c r="E17" s="11">
        <v>0.54702494999999995</v>
      </c>
      <c r="F17" s="11">
        <v>0.64147626999999996</v>
      </c>
      <c r="G17" s="11">
        <v>0.70723683999999998</v>
      </c>
      <c r="H17" s="11">
        <v>0.76086957</v>
      </c>
      <c r="I17" s="11">
        <v>0.72123177000000005</v>
      </c>
      <c r="J17" s="11">
        <v>0.73926868000000001</v>
      </c>
      <c r="K17" s="11">
        <v>0.70723683999999998</v>
      </c>
      <c r="L17" s="11">
        <v>0.76923076999999995</v>
      </c>
      <c r="M17" s="11">
        <v>0.76923076999999995</v>
      </c>
      <c r="N17" s="11">
        <v>0.76506954999999999</v>
      </c>
      <c r="O17" s="11">
        <v>0.76086957</v>
      </c>
      <c r="P17" s="11">
        <v>0.81259150999999996</v>
      </c>
      <c r="Q17" s="11">
        <v>0.69767442000000002</v>
      </c>
      <c r="R17" s="11">
        <v>0.70723683999999998</v>
      </c>
      <c r="S17" s="11">
        <v>0.71661238000000005</v>
      </c>
    </row>
    <row r="18" spans="1:19" x14ac:dyDescent="0.25">
      <c r="A18" s="9" t="s">
        <v>34</v>
      </c>
      <c r="B18" s="11">
        <v>0.47131148</v>
      </c>
      <c r="C18" s="11">
        <v>0.50695825000000005</v>
      </c>
      <c r="D18" s="11">
        <v>0.43340381</v>
      </c>
      <c r="E18" s="11">
        <v>0.43340381</v>
      </c>
      <c r="F18" s="11">
        <v>0.59633027999999999</v>
      </c>
      <c r="G18" s="11">
        <v>0.66265059999999998</v>
      </c>
      <c r="H18" s="11">
        <v>0.65217391000000002</v>
      </c>
      <c r="I18" s="11">
        <v>0.68296796000000004</v>
      </c>
      <c r="J18" s="11">
        <v>0.69282136999999999</v>
      </c>
      <c r="K18" s="11">
        <v>0.66780821999999995</v>
      </c>
      <c r="L18" s="11">
        <v>0.77335374999999995</v>
      </c>
      <c r="M18" s="11">
        <v>0.78549849000000005</v>
      </c>
      <c r="N18" s="11">
        <v>0.73033707999999997</v>
      </c>
      <c r="O18" s="11">
        <v>0.77335374999999995</v>
      </c>
      <c r="P18" s="11">
        <v>0.79341317</v>
      </c>
      <c r="Q18" s="11">
        <v>0.74367088999999997</v>
      </c>
      <c r="R18" s="11">
        <v>0.75663027000000005</v>
      </c>
      <c r="S18" s="11">
        <v>0.70723683999999998</v>
      </c>
    </row>
    <row r="19" spans="1:19" x14ac:dyDescent="0.25">
      <c r="A19" s="9" t="s">
        <v>35</v>
      </c>
      <c r="B19" s="11">
        <v>0.48582996000000001</v>
      </c>
      <c r="C19" s="11">
        <v>0.44117646999999999</v>
      </c>
      <c r="D19" s="11">
        <v>0.54054053999999996</v>
      </c>
      <c r="E19" s="11">
        <v>0.49295774999999997</v>
      </c>
      <c r="F19" s="11">
        <v>0.625</v>
      </c>
      <c r="G19" s="11">
        <v>0.66780821999999995</v>
      </c>
      <c r="H19" s="11">
        <v>0.69767442000000002</v>
      </c>
      <c r="I19" s="11">
        <v>0.71661238000000005</v>
      </c>
      <c r="J19" s="11">
        <v>0.65743945000000004</v>
      </c>
      <c r="K19" s="11">
        <v>0.76923076999999995</v>
      </c>
      <c r="L19" s="11">
        <v>0.73482428</v>
      </c>
      <c r="M19" s="11">
        <v>0.79341317</v>
      </c>
      <c r="N19" s="11">
        <v>0.72580644999999999</v>
      </c>
      <c r="O19" s="11">
        <v>0.79731744000000004</v>
      </c>
      <c r="P19" s="11">
        <v>0.82002903000000005</v>
      </c>
      <c r="Q19" s="11">
        <v>0.71194763000000005</v>
      </c>
      <c r="R19" s="11">
        <v>0.76086957</v>
      </c>
      <c r="S19" s="11">
        <v>0.71194763000000005</v>
      </c>
    </row>
    <row r="20" spans="1:19" x14ac:dyDescent="0.25">
      <c r="A20" s="9" t="s">
        <v>36</v>
      </c>
      <c r="B20" s="11">
        <v>0.52062867999999995</v>
      </c>
      <c r="C20" s="11">
        <v>0.49295774999999997</v>
      </c>
      <c r="D20" s="11">
        <v>0.47861506999999998</v>
      </c>
      <c r="E20" s="11">
        <v>0.49295774999999997</v>
      </c>
      <c r="F20" s="11">
        <v>0.60218978000000001</v>
      </c>
      <c r="G20" s="11">
        <v>0.64147626999999996</v>
      </c>
      <c r="H20" s="11">
        <v>0.67796610000000002</v>
      </c>
      <c r="I20" s="11">
        <v>0.66265059999999998</v>
      </c>
      <c r="J20" s="11">
        <v>0.67291312000000003</v>
      </c>
      <c r="K20" s="11">
        <v>0.68791946000000004</v>
      </c>
      <c r="L20" s="11">
        <v>0.76086957</v>
      </c>
      <c r="M20" s="11">
        <v>0.78148709999999999</v>
      </c>
      <c r="N20" s="11">
        <v>0.70247934000000001</v>
      </c>
      <c r="O20" s="11">
        <v>0.78549849000000005</v>
      </c>
      <c r="P20" s="11">
        <v>0.81259150999999996</v>
      </c>
      <c r="Q20" s="11">
        <v>0.74803149999999996</v>
      </c>
      <c r="R20" s="11">
        <v>0.78148709999999999</v>
      </c>
      <c r="S20" s="11">
        <v>0.74367088999999997</v>
      </c>
    </row>
    <row r="21" spans="1:19" x14ac:dyDescent="0.25">
      <c r="A21" s="9" t="s">
        <v>37</v>
      </c>
      <c r="B21" s="11">
        <v>0.46391753000000002</v>
      </c>
      <c r="C21" s="11">
        <v>0.3930131</v>
      </c>
      <c r="D21" s="11">
        <v>0.44117646999999999</v>
      </c>
      <c r="E21" s="11">
        <v>0.5</v>
      </c>
      <c r="F21" s="11">
        <v>0.63604240000000001</v>
      </c>
      <c r="G21" s="11">
        <v>0.625</v>
      </c>
      <c r="H21" s="11">
        <v>0.70723683999999998</v>
      </c>
      <c r="I21" s="11">
        <v>0.65743945000000004</v>
      </c>
      <c r="J21" s="11">
        <v>0.67291312000000003</v>
      </c>
      <c r="K21" s="11">
        <v>0.69767442000000002</v>
      </c>
      <c r="L21" s="11">
        <v>0.80502216000000004</v>
      </c>
      <c r="M21" s="11">
        <v>0.74367088999999997</v>
      </c>
      <c r="N21" s="11">
        <v>0.79341317</v>
      </c>
      <c r="O21" s="11">
        <v>0.77743901999999998</v>
      </c>
      <c r="P21" s="11">
        <v>0.82369941999999996</v>
      </c>
      <c r="Q21" s="11">
        <v>0.75663027000000005</v>
      </c>
      <c r="R21" s="11">
        <v>0.72123177000000005</v>
      </c>
      <c r="S21" s="11">
        <v>0.72123177000000005</v>
      </c>
    </row>
    <row r="22" spans="1:19" x14ac:dyDescent="0.25">
      <c r="A22" s="9" t="s">
        <v>38</v>
      </c>
      <c r="B22" s="11">
        <v>0.54054053999999996</v>
      </c>
      <c r="C22" s="11">
        <v>0.47131148</v>
      </c>
      <c r="D22" s="11">
        <v>0.48582996000000001</v>
      </c>
      <c r="E22" s="11">
        <v>0.45643154000000002</v>
      </c>
      <c r="F22" s="11">
        <v>0.625</v>
      </c>
      <c r="G22" s="11">
        <v>0.64147626999999996</v>
      </c>
      <c r="H22" s="11">
        <v>0.70723683999999998</v>
      </c>
      <c r="I22" s="11">
        <v>0.67291312000000003</v>
      </c>
      <c r="J22" s="11">
        <v>0.69282136999999999</v>
      </c>
      <c r="K22" s="11">
        <v>0.76506954999999999</v>
      </c>
      <c r="L22" s="11">
        <v>0.76506954999999999</v>
      </c>
      <c r="M22" s="11">
        <v>0.74367088999999997</v>
      </c>
      <c r="N22" s="11">
        <v>0.80882352999999996</v>
      </c>
      <c r="O22" s="11">
        <v>0.74803149999999996</v>
      </c>
      <c r="P22" s="11">
        <v>0.76086957</v>
      </c>
      <c r="Q22" s="11">
        <v>0.72580644999999999</v>
      </c>
      <c r="R22" s="11">
        <v>0.71661238000000005</v>
      </c>
      <c r="S22" s="11">
        <v>0.66265059999999998</v>
      </c>
    </row>
    <row r="23" spans="1:19" x14ac:dyDescent="0.25">
      <c r="A23" s="9" t="s">
        <v>39</v>
      </c>
      <c r="B23" s="11">
        <v>0.59040590000000004</v>
      </c>
      <c r="C23" s="11">
        <v>0.49295774999999997</v>
      </c>
      <c r="D23" s="11">
        <v>0.47131148</v>
      </c>
      <c r="E23" s="11">
        <v>0.47131148</v>
      </c>
      <c r="F23" s="11">
        <v>0.64685314999999999</v>
      </c>
      <c r="G23" s="11">
        <v>0.65217391000000002</v>
      </c>
      <c r="H23" s="11">
        <v>0.625</v>
      </c>
      <c r="I23" s="11">
        <v>0.65743945000000004</v>
      </c>
      <c r="J23" s="11">
        <v>0.76086957</v>
      </c>
      <c r="K23" s="11">
        <v>0.69282136999999999</v>
      </c>
      <c r="L23" s="11">
        <v>0.77743901999999998</v>
      </c>
      <c r="M23" s="11">
        <v>0.76086957</v>
      </c>
      <c r="N23" s="11">
        <v>0.72580644999999999</v>
      </c>
      <c r="O23" s="11">
        <v>0.75663027000000005</v>
      </c>
      <c r="P23" s="11">
        <v>0.71661238000000005</v>
      </c>
      <c r="Q23" s="11">
        <v>0.77743901999999998</v>
      </c>
      <c r="R23" s="11">
        <v>0.69282136999999999</v>
      </c>
      <c r="S23" s="11">
        <v>0.66780821999999995</v>
      </c>
    </row>
    <row r="24" spans="1:19" x14ac:dyDescent="0.25">
      <c r="A24" s="9" t="s">
        <v>40</v>
      </c>
      <c r="B24" s="11">
        <v>0.42553191000000001</v>
      </c>
      <c r="C24" s="11">
        <v>0.52062867999999995</v>
      </c>
      <c r="D24" s="11">
        <v>0.50695825000000005</v>
      </c>
      <c r="E24" s="11">
        <v>0.48582996000000001</v>
      </c>
      <c r="F24" s="11">
        <v>0.625</v>
      </c>
      <c r="G24" s="11">
        <v>0.67796610000000002</v>
      </c>
      <c r="H24" s="11">
        <v>0.72123177000000005</v>
      </c>
      <c r="I24" s="11">
        <v>0.69282136999999999</v>
      </c>
      <c r="J24" s="11">
        <v>0.64147626999999996</v>
      </c>
      <c r="K24" s="11">
        <v>0.66780821999999995</v>
      </c>
      <c r="L24" s="11">
        <v>0.71194763000000005</v>
      </c>
      <c r="M24" s="11">
        <v>0.78549849000000005</v>
      </c>
      <c r="N24" s="11">
        <v>0.79341317</v>
      </c>
      <c r="O24" s="11">
        <v>0.80118694000000001</v>
      </c>
      <c r="P24" s="11">
        <v>0.72123177000000005</v>
      </c>
      <c r="Q24" s="11">
        <v>0.68296796000000004</v>
      </c>
      <c r="R24" s="11">
        <v>0.76506954999999999</v>
      </c>
      <c r="S24" s="11">
        <v>0.75663027000000005</v>
      </c>
    </row>
    <row r="25" spans="1:19" x14ac:dyDescent="0.25">
      <c r="A25" s="9" t="s">
        <v>41</v>
      </c>
      <c r="B25" s="11">
        <v>0.55343511000000001</v>
      </c>
      <c r="C25" s="11">
        <v>0.3930131</v>
      </c>
      <c r="D25" s="11">
        <v>0.48582996000000001</v>
      </c>
      <c r="E25" s="11">
        <v>0.48582996000000001</v>
      </c>
      <c r="F25" s="11">
        <v>0.66265059999999998</v>
      </c>
      <c r="G25" s="11">
        <v>0.69767442000000002</v>
      </c>
      <c r="H25" s="11">
        <v>0.76506954999999999</v>
      </c>
      <c r="I25" s="11">
        <v>0.66780821999999995</v>
      </c>
      <c r="J25" s="11">
        <v>0.65217391000000002</v>
      </c>
      <c r="K25" s="11">
        <v>0.68791946000000004</v>
      </c>
      <c r="L25" s="11">
        <v>0.71661238000000005</v>
      </c>
      <c r="M25" s="11">
        <v>0.74803149999999996</v>
      </c>
      <c r="N25" s="11">
        <v>0.75235110000000005</v>
      </c>
      <c r="O25" s="11">
        <v>0.69282136999999999</v>
      </c>
      <c r="P25" s="11">
        <v>0.73482428</v>
      </c>
      <c r="Q25" s="11">
        <v>0.69282136999999999</v>
      </c>
      <c r="R25" s="11">
        <v>0.73926868000000001</v>
      </c>
      <c r="S25" s="11">
        <v>0.65217391000000002</v>
      </c>
    </row>
    <row r="26" spans="1:19" x14ac:dyDescent="0.25">
      <c r="A26" s="9" t="s">
        <v>42</v>
      </c>
      <c r="B26" s="11">
        <v>0.43340381</v>
      </c>
      <c r="C26" s="11">
        <v>0.41755889000000002</v>
      </c>
      <c r="D26" s="11">
        <v>0.54702494999999995</v>
      </c>
      <c r="E26" s="11">
        <v>0.46391753000000002</v>
      </c>
      <c r="F26" s="11">
        <v>0.67796610000000002</v>
      </c>
      <c r="G26" s="11">
        <v>0.69282136999999999</v>
      </c>
      <c r="H26" s="11">
        <v>0.71194763000000005</v>
      </c>
      <c r="I26" s="11">
        <v>0.71194763000000005</v>
      </c>
      <c r="J26" s="11">
        <v>0.67291312000000003</v>
      </c>
      <c r="K26" s="11">
        <v>0.73033707999999997</v>
      </c>
      <c r="L26" s="11">
        <v>0.73926868000000001</v>
      </c>
      <c r="M26" s="11">
        <v>0.78947367999999996</v>
      </c>
      <c r="N26" s="11">
        <v>0.72123177000000005</v>
      </c>
      <c r="O26" s="11">
        <v>0.78549849000000005</v>
      </c>
      <c r="P26" s="11">
        <v>0.78549849000000005</v>
      </c>
      <c r="Q26" s="11">
        <v>0.73926868000000001</v>
      </c>
      <c r="R26" s="11">
        <v>0.73033707999999997</v>
      </c>
      <c r="S26" s="11">
        <v>0.70247934000000001</v>
      </c>
    </row>
    <row r="27" spans="1:19" x14ac:dyDescent="0.25">
      <c r="A27" s="9" t="s">
        <v>43</v>
      </c>
      <c r="B27" s="11">
        <v>0.47861506999999998</v>
      </c>
      <c r="C27" s="11">
        <v>0.48582996000000001</v>
      </c>
      <c r="D27" s="11">
        <v>0.55343511000000001</v>
      </c>
      <c r="E27" s="11">
        <v>0.45643154000000002</v>
      </c>
      <c r="F27" s="11">
        <v>0.65743945000000004</v>
      </c>
      <c r="G27" s="11">
        <v>0.66780821999999995</v>
      </c>
      <c r="H27" s="11">
        <v>0.68791946000000004</v>
      </c>
      <c r="I27" s="11">
        <v>0.67796610000000002</v>
      </c>
      <c r="J27" s="11">
        <v>0.72123177000000005</v>
      </c>
      <c r="K27" s="11">
        <v>0.73033707999999997</v>
      </c>
      <c r="L27" s="11">
        <v>0.70723683999999998</v>
      </c>
      <c r="M27" s="11">
        <v>0.68791946000000004</v>
      </c>
      <c r="N27" s="11">
        <v>0.76086957</v>
      </c>
      <c r="O27" s="11">
        <v>0.78549849000000005</v>
      </c>
      <c r="P27" s="11">
        <v>0.75663027000000005</v>
      </c>
      <c r="Q27" s="11">
        <v>0.70723683999999998</v>
      </c>
      <c r="R27" s="11">
        <v>0.75663027000000005</v>
      </c>
      <c r="S27" s="11">
        <v>0.76923076999999995</v>
      </c>
    </row>
    <row r="28" spans="1:19" x14ac:dyDescent="0.25">
      <c r="A28" s="9" t="s">
        <v>44</v>
      </c>
      <c r="B28" s="11">
        <v>0.53398058000000004</v>
      </c>
      <c r="C28" s="11">
        <v>0.51383398999999996</v>
      </c>
      <c r="D28" s="11">
        <v>0.51383398999999996</v>
      </c>
      <c r="E28" s="11">
        <v>0.47131148</v>
      </c>
      <c r="F28" s="11">
        <v>0.64147626999999996</v>
      </c>
      <c r="G28" s="11">
        <v>0.64685314999999999</v>
      </c>
      <c r="H28" s="11">
        <v>0.73482428</v>
      </c>
      <c r="I28" s="11">
        <v>0.64147626999999996</v>
      </c>
      <c r="J28" s="11">
        <v>0.71661238000000005</v>
      </c>
      <c r="K28" s="11">
        <v>0.68791946000000004</v>
      </c>
      <c r="L28" s="11">
        <v>0.69282136999999999</v>
      </c>
      <c r="M28" s="11">
        <v>0.72123177000000005</v>
      </c>
      <c r="N28" s="11">
        <v>0.73033707999999997</v>
      </c>
      <c r="O28" s="11">
        <v>0.74367088999999997</v>
      </c>
      <c r="P28" s="11">
        <v>0.71661238000000005</v>
      </c>
      <c r="Q28" s="11">
        <v>0.76506954999999999</v>
      </c>
      <c r="R28" s="11">
        <v>0.73926868000000001</v>
      </c>
      <c r="S28" s="11">
        <v>0.73033707999999997</v>
      </c>
    </row>
    <row r="29" spans="1:19" x14ac:dyDescent="0.25">
      <c r="A29" s="9" t="s">
        <v>45</v>
      </c>
      <c r="B29" s="11">
        <v>0.46391753000000002</v>
      </c>
      <c r="C29" s="11">
        <v>0.52734375</v>
      </c>
      <c r="D29" s="11">
        <v>0.50695825000000005</v>
      </c>
      <c r="E29" s="11">
        <v>0.47861506999999998</v>
      </c>
      <c r="F29" s="11">
        <v>0.63055061999999995</v>
      </c>
      <c r="G29" s="11">
        <v>0.69767442000000002</v>
      </c>
      <c r="H29" s="11">
        <v>0.72123177000000005</v>
      </c>
      <c r="I29" s="11">
        <v>0.73482428</v>
      </c>
      <c r="J29" s="11">
        <v>0.69282136999999999</v>
      </c>
      <c r="K29" s="11">
        <v>0.71661238000000005</v>
      </c>
      <c r="L29" s="11">
        <v>0.77743901999999998</v>
      </c>
      <c r="M29" s="11">
        <v>0.72580644999999999</v>
      </c>
      <c r="N29" s="11">
        <v>0.71194763000000005</v>
      </c>
      <c r="O29" s="11">
        <v>0.76923076999999995</v>
      </c>
      <c r="P29" s="11">
        <v>0.82369941999999996</v>
      </c>
      <c r="Q29" s="11">
        <v>0.74803149999999996</v>
      </c>
      <c r="R29" s="11">
        <v>0.71194763000000005</v>
      </c>
      <c r="S29" s="11">
        <v>0.73033707999999997</v>
      </c>
    </row>
    <row r="30" spans="1:19" x14ac:dyDescent="0.25">
      <c r="A30" s="9" t="s">
        <v>46</v>
      </c>
      <c r="B30" s="11">
        <v>0.47861506999999998</v>
      </c>
      <c r="C30" s="11">
        <v>0.46391753000000002</v>
      </c>
      <c r="D30" s="11">
        <v>0.47131148</v>
      </c>
      <c r="E30" s="11">
        <v>0.50695825000000005</v>
      </c>
      <c r="F30" s="11">
        <v>0.55343511000000001</v>
      </c>
      <c r="G30" s="11">
        <v>0.64147626999999996</v>
      </c>
      <c r="H30" s="11">
        <v>0.65217391000000002</v>
      </c>
      <c r="I30" s="11">
        <v>0.73482428</v>
      </c>
      <c r="J30" s="11">
        <v>0.73482428</v>
      </c>
      <c r="K30" s="11">
        <v>0.68791946000000004</v>
      </c>
      <c r="L30" s="11">
        <v>0.72580644999999999</v>
      </c>
      <c r="M30" s="11">
        <v>0.74803149999999996</v>
      </c>
      <c r="N30" s="11">
        <v>0.81259150999999996</v>
      </c>
      <c r="O30" s="11">
        <v>0.77335374999999995</v>
      </c>
      <c r="P30" s="11">
        <v>0.73482428</v>
      </c>
      <c r="Q30" s="11">
        <v>0.74367088999999997</v>
      </c>
      <c r="R30" s="11">
        <v>0.73926868000000001</v>
      </c>
      <c r="S30" s="11">
        <v>0.73482428</v>
      </c>
    </row>
    <row r="31" spans="1:19" x14ac:dyDescent="0.25">
      <c r="A31" s="9" t="s">
        <v>47</v>
      </c>
      <c r="B31" s="11">
        <v>0.49295774999999997</v>
      </c>
      <c r="C31" s="11">
        <v>0.5</v>
      </c>
      <c r="D31" s="11">
        <v>0.5</v>
      </c>
      <c r="E31" s="11">
        <v>0.48582996000000001</v>
      </c>
      <c r="F31" s="11">
        <v>0.59040590000000004</v>
      </c>
      <c r="G31" s="11">
        <v>0.66780821999999995</v>
      </c>
      <c r="H31" s="11">
        <v>0.71661238000000005</v>
      </c>
      <c r="I31" s="11">
        <v>0.74803149999999996</v>
      </c>
      <c r="J31" s="11">
        <v>0.69767442000000002</v>
      </c>
      <c r="K31" s="11">
        <v>0.67796610000000002</v>
      </c>
      <c r="L31" s="11">
        <v>0.80882352999999996</v>
      </c>
      <c r="M31" s="11">
        <v>0.75663027000000005</v>
      </c>
      <c r="N31" s="11">
        <v>0.76086957</v>
      </c>
      <c r="O31" s="11">
        <v>0.77743901999999998</v>
      </c>
      <c r="P31" s="11">
        <v>0.71194763000000005</v>
      </c>
      <c r="Q31" s="11">
        <v>0.72123177000000005</v>
      </c>
      <c r="R31" s="11">
        <v>0.71661238000000005</v>
      </c>
      <c r="S31" s="11">
        <v>0.76086957</v>
      </c>
    </row>
    <row r="32" spans="1:19" x14ac:dyDescent="0.25">
      <c r="A32" s="9" t="s">
        <v>48</v>
      </c>
      <c r="B32" s="11">
        <f>AVERAGE(B2:B31)</f>
        <v>0.50104165266666678</v>
      </c>
      <c r="C32" s="11">
        <f t="shared" ref="C32:S32" si="0">AVERAGE(C2:C31)</f>
        <v>0.48538619533333338</v>
      </c>
      <c r="D32" s="11">
        <f t="shared" si="0"/>
        <v>0.49149326866666682</v>
      </c>
      <c r="E32" s="11">
        <f t="shared" si="0"/>
        <v>0.48566991033333351</v>
      </c>
      <c r="F32" s="11">
        <f t="shared" si="0"/>
        <v>0.61956396200000008</v>
      </c>
      <c r="G32" s="11">
        <f t="shared" si="0"/>
        <v>0.65824313833333326</v>
      </c>
      <c r="H32" s="11">
        <f t="shared" si="0"/>
        <v>0.68881617333333345</v>
      </c>
      <c r="I32" s="11">
        <f t="shared" si="0"/>
        <v>0.69612624400000012</v>
      </c>
      <c r="J32" s="11">
        <f t="shared" si="0"/>
        <v>0.69565604933333358</v>
      </c>
      <c r="K32" s="11">
        <f t="shared" si="0"/>
        <v>0.71016926866666663</v>
      </c>
      <c r="L32" s="11">
        <f t="shared" si="0"/>
        <v>0.75591569266666681</v>
      </c>
      <c r="M32" s="11">
        <f t="shared" si="0"/>
        <v>0.74504248633333325</v>
      </c>
      <c r="N32" s="11">
        <f t="shared" si="0"/>
        <v>0.7590358586666669</v>
      </c>
      <c r="O32" s="11">
        <f t="shared" si="0"/>
        <v>0.76284476066666651</v>
      </c>
      <c r="P32" s="11">
        <f t="shared" si="0"/>
        <v>0.76293060166666693</v>
      </c>
      <c r="Q32" s="11">
        <f t="shared" si="0"/>
        <v>0.74021696333333331</v>
      </c>
      <c r="R32" s="11">
        <f t="shared" si="0"/>
        <v>0.7351674136666666</v>
      </c>
      <c r="S32" s="11">
        <f t="shared" si="0"/>
        <v>0.72321346700000011</v>
      </c>
    </row>
    <row r="33" spans="1:19" x14ac:dyDescent="0.25">
      <c r="A33" s="9" t="s">
        <v>49</v>
      </c>
      <c r="B33" s="10">
        <f>_xlfn.STDEV.P(B2:B31)</f>
        <v>3.8583964492982827E-2</v>
      </c>
      <c r="C33" s="10">
        <f t="shared" ref="C33:S33" si="1">_xlfn.STDEV.P(C2:C31)</f>
        <v>4.4192375672191662E-2</v>
      </c>
      <c r="D33" s="10">
        <f t="shared" si="1"/>
        <v>4.1810301188468513E-2</v>
      </c>
      <c r="E33" s="10">
        <f t="shared" si="1"/>
        <v>4.0114954288911542E-2</v>
      </c>
      <c r="F33" s="10">
        <f t="shared" si="1"/>
        <v>3.1733374983125083E-2</v>
      </c>
      <c r="G33" s="10">
        <f t="shared" si="1"/>
        <v>3.606231161223114E-2</v>
      </c>
      <c r="H33" s="10">
        <f t="shared" si="1"/>
        <v>3.9015039132205276E-2</v>
      </c>
      <c r="I33" s="10">
        <f t="shared" si="1"/>
        <v>3.6628692083851021E-2</v>
      </c>
      <c r="J33" s="10">
        <f t="shared" si="1"/>
        <v>3.1740081364927217E-2</v>
      </c>
      <c r="K33" s="10">
        <f t="shared" si="1"/>
        <v>2.8149641666946505E-2</v>
      </c>
      <c r="L33" s="10">
        <f t="shared" si="1"/>
        <v>3.227975239701588E-2</v>
      </c>
      <c r="M33" s="10">
        <f t="shared" si="1"/>
        <v>2.9919714352215483E-2</v>
      </c>
      <c r="N33" s="10">
        <f t="shared" si="1"/>
        <v>2.99262756631744E-2</v>
      </c>
      <c r="O33" s="10">
        <f t="shared" si="1"/>
        <v>3.0005829782062239E-2</v>
      </c>
      <c r="P33" s="10">
        <f t="shared" si="1"/>
        <v>3.5959535824386546E-2</v>
      </c>
      <c r="Q33" s="10">
        <f t="shared" si="1"/>
        <v>3.6512674139479416E-2</v>
      </c>
      <c r="R33" s="10">
        <f t="shared" si="1"/>
        <v>3.0934981198971329E-2</v>
      </c>
      <c r="S33" s="10">
        <f t="shared" si="1"/>
        <v>3.7924326202602117E-2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F32D0-F051-4FAB-A934-8A8BEF547E02}">
  <sheetPr codeName="Tabelle7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9" t="s">
        <v>79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x14ac:dyDescent="0.25">
      <c r="A2" s="9" t="s">
        <v>18</v>
      </c>
      <c r="B2" s="11">
        <v>0.49295774999999997</v>
      </c>
      <c r="C2" s="11">
        <v>0.50695825000000005</v>
      </c>
      <c r="D2" s="11">
        <v>0.41755889000000002</v>
      </c>
      <c r="E2" s="11">
        <v>0.40948276</v>
      </c>
      <c r="F2" s="11">
        <v>0.47131148</v>
      </c>
      <c r="G2" s="11">
        <v>0.5597723</v>
      </c>
      <c r="H2" s="11">
        <v>0.5</v>
      </c>
      <c r="I2" s="11">
        <v>0.54702494999999995</v>
      </c>
      <c r="J2" s="11">
        <v>0.55343511000000001</v>
      </c>
      <c r="K2" s="11">
        <v>0.5597723</v>
      </c>
      <c r="L2" s="11">
        <v>0.60218978000000001</v>
      </c>
      <c r="M2" s="11">
        <v>0.5597723</v>
      </c>
      <c r="N2" s="11">
        <v>0.57223265000000001</v>
      </c>
      <c r="O2" s="11">
        <v>0.52734375</v>
      </c>
      <c r="P2" s="11">
        <v>0.52734375</v>
      </c>
      <c r="Q2" s="11">
        <v>0.37610619000000001</v>
      </c>
      <c r="R2" s="11">
        <v>0.44885176999999998</v>
      </c>
      <c r="S2" s="11">
        <v>0.37610619000000001</v>
      </c>
    </row>
    <row r="3" spans="1:19" x14ac:dyDescent="0.25">
      <c r="A3" s="9" t="s">
        <v>19</v>
      </c>
      <c r="B3" s="11">
        <v>0.43340381</v>
      </c>
      <c r="C3" s="11">
        <v>0.43340381</v>
      </c>
      <c r="D3" s="11">
        <v>0.47131148</v>
      </c>
      <c r="E3" s="11">
        <v>0.35874439000000002</v>
      </c>
      <c r="F3" s="11">
        <v>0.47861506999999998</v>
      </c>
      <c r="G3" s="11">
        <v>0.48582996000000001</v>
      </c>
      <c r="H3" s="11">
        <v>0.56603773999999996</v>
      </c>
      <c r="I3" s="11">
        <v>0.55343511000000001</v>
      </c>
      <c r="J3" s="11">
        <v>0.60218978000000001</v>
      </c>
      <c r="K3" s="11">
        <v>0.57223265000000001</v>
      </c>
      <c r="L3" s="11">
        <v>0.49295774999999997</v>
      </c>
      <c r="M3" s="11">
        <v>0.60218978000000001</v>
      </c>
      <c r="N3" s="11">
        <v>0.54702494999999995</v>
      </c>
      <c r="O3" s="11">
        <v>0.52734375</v>
      </c>
      <c r="P3" s="11">
        <v>0.54702494999999995</v>
      </c>
      <c r="Q3" s="11">
        <v>0.44885176999999998</v>
      </c>
      <c r="R3" s="11">
        <v>0.46391753000000002</v>
      </c>
      <c r="S3" s="11">
        <v>0.40130152000000002</v>
      </c>
    </row>
    <row r="4" spans="1:19" x14ac:dyDescent="0.25">
      <c r="A4" s="9" t="s">
        <v>20</v>
      </c>
      <c r="B4" s="11">
        <v>0.42553191000000001</v>
      </c>
      <c r="C4" s="11">
        <v>0.5</v>
      </c>
      <c r="D4" s="11">
        <v>0.54702494999999995</v>
      </c>
      <c r="E4" s="11">
        <v>0.47131148</v>
      </c>
      <c r="F4" s="11">
        <v>0.48582996000000001</v>
      </c>
      <c r="G4" s="11">
        <v>0.55343511000000001</v>
      </c>
      <c r="H4" s="11">
        <v>0.51383398999999996</v>
      </c>
      <c r="I4" s="11">
        <v>0.54702494999999995</v>
      </c>
      <c r="J4" s="11">
        <v>0.56603773999999996</v>
      </c>
      <c r="K4" s="11">
        <v>0.59633027999999999</v>
      </c>
      <c r="L4" s="11">
        <v>0.65743945000000004</v>
      </c>
      <c r="M4" s="11">
        <v>0.5</v>
      </c>
      <c r="N4" s="11">
        <v>0.49295774999999997</v>
      </c>
      <c r="O4" s="11">
        <v>0.5597723</v>
      </c>
      <c r="P4" s="11">
        <v>0.49295774999999997</v>
      </c>
      <c r="Q4" s="11">
        <v>0.44117646999999999</v>
      </c>
      <c r="R4" s="11">
        <v>0.45643154000000002</v>
      </c>
      <c r="S4" s="11">
        <v>0.44117646999999999</v>
      </c>
    </row>
    <row r="5" spans="1:19" x14ac:dyDescent="0.25">
      <c r="A5" s="9" t="s">
        <v>21</v>
      </c>
      <c r="B5" s="11">
        <v>0.34090909000000003</v>
      </c>
      <c r="C5" s="11">
        <v>0.46391753000000002</v>
      </c>
      <c r="D5" s="11">
        <v>0.47131148</v>
      </c>
      <c r="E5" s="11">
        <v>0.50695825000000005</v>
      </c>
      <c r="F5" s="11">
        <v>0.49295774999999997</v>
      </c>
      <c r="G5" s="11">
        <v>0.47861506999999998</v>
      </c>
      <c r="H5" s="11">
        <v>0.51383398999999996</v>
      </c>
      <c r="I5" s="11">
        <v>0.55343511000000001</v>
      </c>
      <c r="J5" s="11">
        <v>0.54054053999999996</v>
      </c>
      <c r="K5" s="11">
        <v>0.61371841000000005</v>
      </c>
      <c r="L5" s="11">
        <v>0.57223265000000001</v>
      </c>
      <c r="M5" s="11">
        <v>0.52734375</v>
      </c>
      <c r="N5" s="11">
        <v>0.54054053999999996</v>
      </c>
      <c r="O5" s="11">
        <v>0.47861506999999998</v>
      </c>
      <c r="P5" s="11">
        <v>0.57835820999999998</v>
      </c>
      <c r="Q5" s="11">
        <v>0.52062867999999995</v>
      </c>
      <c r="R5" s="11">
        <v>0.48582996000000001</v>
      </c>
      <c r="S5" s="11">
        <v>0.5</v>
      </c>
    </row>
    <row r="6" spans="1:19" x14ac:dyDescent="0.25">
      <c r="A6" s="9" t="s">
        <v>22</v>
      </c>
      <c r="B6" s="11">
        <v>0.49295774999999997</v>
      </c>
      <c r="C6" s="11">
        <v>0.45643154000000002</v>
      </c>
      <c r="D6" s="11">
        <v>0.36748330000000001</v>
      </c>
      <c r="E6" s="11">
        <v>0.46391753000000002</v>
      </c>
      <c r="F6" s="11">
        <v>0.52062867999999995</v>
      </c>
      <c r="G6" s="11">
        <v>0.50695825000000005</v>
      </c>
      <c r="H6" s="11">
        <v>0.54702494999999995</v>
      </c>
      <c r="I6" s="11">
        <v>0.52062867999999995</v>
      </c>
      <c r="J6" s="11">
        <v>0.63055061999999995</v>
      </c>
      <c r="K6" s="11">
        <v>0.60218978000000001</v>
      </c>
      <c r="L6" s="11">
        <v>0.57223265000000001</v>
      </c>
      <c r="M6" s="11">
        <v>0.57223265000000001</v>
      </c>
      <c r="N6" s="11">
        <v>0.49295774999999997</v>
      </c>
      <c r="O6" s="11">
        <v>0.52062867999999995</v>
      </c>
      <c r="P6" s="11">
        <v>0.54702494999999995</v>
      </c>
      <c r="Q6" s="11">
        <v>0.44885176999999998</v>
      </c>
      <c r="R6" s="11">
        <v>0.5</v>
      </c>
      <c r="S6" s="11">
        <v>0.40130152000000002</v>
      </c>
    </row>
    <row r="7" spans="1:19" x14ac:dyDescent="0.25">
      <c r="A7" s="9" t="s">
        <v>23</v>
      </c>
      <c r="B7" s="11">
        <v>0.49295774999999997</v>
      </c>
      <c r="C7" s="11">
        <v>0.51383398999999996</v>
      </c>
      <c r="D7" s="11">
        <v>0.44117646999999999</v>
      </c>
      <c r="E7" s="11">
        <v>0.54054053999999996</v>
      </c>
      <c r="F7" s="11">
        <v>0.47131148</v>
      </c>
      <c r="G7" s="11">
        <v>0.52062867999999995</v>
      </c>
      <c r="H7" s="11">
        <v>0.56603773999999996</v>
      </c>
      <c r="I7" s="11">
        <v>0.5</v>
      </c>
      <c r="J7" s="11">
        <v>0.52062867999999995</v>
      </c>
      <c r="K7" s="11">
        <v>0.59633027999999999</v>
      </c>
      <c r="L7" s="11">
        <v>0.61371841000000005</v>
      </c>
      <c r="M7" s="11">
        <v>0.54702494999999995</v>
      </c>
      <c r="N7" s="11">
        <v>0.51383398999999996</v>
      </c>
      <c r="O7" s="11">
        <v>0.52062867999999995</v>
      </c>
      <c r="P7" s="11">
        <v>0.52062867999999995</v>
      </c>
      <c r="Q7" s="11">
        <v>0.59040590000000004</v>
      </c>
      <c r="R7" s="11">
        <v>0.58441558000000005</v>
      </c>
      <c r="S7" s="11">
        <v>0.49295774999999997</v>
      </c>
    </row>
    <row r="8" spans="1:19" x14ac:dyDescent="0.25">
      <c r="A8" s="9" t="s">
        <v>24</v>
      </c>
      <c r="B8" s="11">
        <v>0.50695825000000005</v>
      </c>
      <c r="C8" s="11">
        <v>0.49295774999999997</v>
      </c>
      <c r="D8" s="11">
        <v>0.47131148</v>
      </c>
      <c r="E8" s="11">
        <v>0.46391753000000002</v>
      </c>
      <c r="F8" s="11">
        <v>0.41755889000000002</v>
      </c>
      <c r="G8" s="11">
        <v>0.47131148</v>
      </c>
      <c r="H8" s="11">
        <v>0.54702494999999995</v>
      </c>
      <c r="I8" s="11">
        <v>0.52062867999999995</v>
      </c>
      <c r="J8" s="11">
        <v>0.52062867999999995</v>
      </c>
      <c r="K8" s="11">
        <v>0.54702494999999995</v>
      </c>
      <c r="L8" s="11">
        <v>0.57835820999999998</v>
      </c>
      <c r="M8" s="11">
        <v>0.56603773999999996</v>
      </c>
      <c r="N8" s="11">
        <v>0.61938959000000005</v>
      </c>
      <c r="O8" s="11">
        <v>0.5</v>
      </c>
      <c r="P8" s="11">
        <v>0.44885176999999998</v>
      </c>
      <c r="Q8" s="11">
        <v>0.5</v>
      </c>
      <c r="R8" s="11">
        <v>0.54054053999999996</v>
      </c>
      <c r="S8" s="11">
        <v>0.45643154000000002</v>
      </c>
    </row>
    <row r="9" spans="1:19" x14ac:dyDescent="0.25">
      <c r="A9" s="9" t="s">
        <v>25</v>
      </c>
      <c r="B9" s="11">
        <v>0.49295774999999997</v>
      </c>
      <c r="C9" s="11">
        <v>0.52062867999999995</v>
      </c>
      <c r="D9" s="11">
        <v>0.44885176999999998</v>
      </c>
      <c r="E9" s="11">
        <v>0.43340381</v>
      </c>
      <c r="F9" s="11">
        <v>0.53398058000000004</v>
      </c>
      <c r="G9" s="11">
        <v>0.49295774999999997</v>
      </c>
      <c r="H9" s="11">
        <v>0.58441558000000005</v>
      </c>
      <c r="I9" s="11">
        <v>0.54702494999999995</v>
      </c>
      <c r="J9" s="11">
        <v>0.65217391000000002</v>
      </c>
      <c r="K9" s="11">
        <v>0.57835820999999998</v>
      </c>
      <c r="L9" s="11">
        <v>0.56603773999999996</v>
      </c>
      <c r="M9" s="11">
        <v>0.52062867999999995</v>
      </c>
      <c r="N9" s="11">
        <v>0.54054053999999996</v>
      </c>
      <c r="O9" s="11">
        <v>0.56603773999999996</v>
      </c>
      <c r="P9" s="11">
        <v>0.47861506999999998</v>
      </c>
      <c r="Q9" s="11">
        <v>0.41755889000000002</v>
      </c>
      <c r="R9" s="11">
        <v>0.45643154000000002</v>
      </c>
      <c r="S9" s="11">
        <v>0.47861506999999998</v>
      </c>
    </row>
    <row r="10" spans="1:19" x14ac:dyDescent="0.25">
      <c r="A10" s="9" t="s">
        <v>26</v>
      </c>
      <c r="B10" s="11">
        <v>0.42553191000000001</v>
      </c>
      <c r="C10" s="11">
        <v>0.51383398999999996</v>
      </c>
      <c r="D10" s="11">
        <v>0.53398058000000004</v>
      </c>
      <c r="E10" s="11">
        <v>0.37610619000000001</v>
      </c>
      <c r="F10" s="11">
        <v>0.54054053999999996</v>
      </c>
      <c r="G10" s="11">
        <v>0.43340381</v>
      </c>
      <c r="H10" s="11">
        <v>0.51383398999999996</v>
      </c>
      <c r="I10" s="11">
        <v>0.54054053999999996</v>
      </c>
      <c r="J10" s="11">
        <v>0.54702494999999995</v>
      </c>
      <c r="K10" s="11">
        <v>0.63055061999999995</v>
      </c>
      <c r="L10" s="11">
        <v>0.64685314999999999</v>
      </c>
      <c r="M10" s="11">
        <v>0.50695825000000005</v>
      </c>
      <c r="N10" s="11">
        <v>0.47861506999999998</v>
      </c>
      <c r="O10" s="11">
        <v>0.5</v>
      </c>
      <c r="P10" s="11">
        <v>0.42553191000000001</v>
      </c>
      <c r="Q10" s="11">
        <v>0.44885176999999998</v>
      </c>
      <c r="R10" s="11">
        <v>0.40948276</v>
      </c>
      <c r="S10" s="11">
        <v>0.41755889000000002</v>
      </c>
    </row>
    <row r="11" spans="1:19" x14ac:dyDescent="0.25">
      <c r="A11" s="9" t="s">
        <v>27</v>
      </c>
      <c r="B11" s="11">
        <v>0.40130152000000002</v>
      </c>
      <c r="C11" s="11">
        <v>0.46391753000000002</v>
      </c>
      <c r="D11" s="11">
        <v>0.47861506999999998</v>
      </c>
      <c r="E11" s="11">
        <v>0.42553191000000001</v>
      </c>
      <c r="F11" s="11">
        <v>0.50695825000000005</v>
      </c>
      <c r="G11" s="11">
        <v>0.49295774999999997</v>
      </c>
      <c r="H11" s="11">
        <v>0.49295774999999997</v>
      </c>
      <c r="I11" s="11">
        <v>0.52734375</v>
      </c>
      <c r="J11" s="11">
        <v>0.61938959000000005</v>
      </c>
      <c r="K11" s="11">
        <v>0.54702494999999995</v>
      </c>
      <c r="L11" s="11">
        <v>0.55343511000000001</v>
      </c>
      <c r="M11" s="11">
        <v>0.53398058000000004</v>
      </c>
      <c r="N11" s="11">
        <v>0.54054053999999996</v>
      </c>
      <c r="O11" s="11">
        <v>0.54054053999999996</v>
      </c>
      <c r="P11" s="11">
        <v>0.51383398999999996</v>
      </c>
      <c r="Q11" s="11">
        <v>0.40130152000000002</v>
      </c>
      <c r="R11" s="11">
        <v>0.48582996000000001</v>
      </c>
      <c r="S11" s="11">
        <v>0.47861506999999998</v>
      </c>
    </row>
    <row r="12" spans="1:19" x14ac:dyDescent="0.25">
      <c r="A12" s="9" t="s">
        <v>28</v>
      </c>
      <c r="B12" s="11">
        <v>0.53398058000000004</v>
      </c>
      <c r="C12" s="11">
        <v>0.44117646999999999</v>
      </c>
      <c r="D12" s="11">
        <v>0.5597723</v>
      </c>
      <c r="E12" s="11">
        <v>0.40948276</v>
      </c>
      <c r="F12" s="11">
        <v>0.48582996000000001</v>
      </c>
      <c r="G12" s="11">
        <v>0.51383398999999996</v>
      </c>
      <c r="H12" s="11">
        <v>0.49295774999999997</v>
      </c>
      <c r="I12" s="11">
        <v>0.52734375</v>
      </c>
      <c r="J12" s="11">
        <v>0.58441558000000005</v>
      </c>
      <c r="K12" s="11">
        <v>0.63055061999999995</v>
      </c>
      <c r="L12" s="11">
        <v>0.625</v>
      </c>
      <c r="M12" s="11">
        <v>0.61371841000000005</v>
      </c>
      <c r="N12" s="11">
        <v>0.52062867999999995</v>
      </c>
      <c r="O12" s="11">
        <v>0.5</v>
      </c>
      <c r="P12" s="11">
        <v>0.55343511000000001</v>
      </c>
      <c r="Q12" s="11">
        <v>0.55343511000000001</v>
      </c>
      <c r="R12" s="11">
        <v>0.43340381</v>
      </c>
      <c r="S12" s="11">
        <v>0.40130152000000002</v>
      </c>
    </row>
    <row r="13" spans="1:19" x14ac:dyDescent="0.25">
      <c r="A13" s="9" t="s">
        <v>29</v>
      </c>
      <c r="B13" s="11">
        <v>0.44117646999999999</v>
      </c>
      <c r="C13" s="11">
        <v>0.40130152000000002</v>
      </c>
      <c r="D13" s="11">
        <v>0.47131148</v>
      </c>
      <c r="E13" s="11">
        <v>0.47861506999999998</v>
      </c>
      <c r="F13" s="11">
        <v>0.56603773999999996</v>
      </c>
      <c r="G13" s="11">
        <v>0.54054053999999996</v>
      </c>
      <c r="H13" s="11">
        <v>0.5597723</v>
      </c>
      <c r="I13" s="11">
        <v>0.54702494999999995</v>
      </c>
      <c r="J13" s="11">
        <v>0.49295774999999997</v>
      </c>
      <c r="K13" s="11">
        <v>0.58441558000000005</v>
      </c>
      <c r="L13" s="11">
        <v>0.58441558000000005</v>
      </c>
      <c r="M13" s="11">
        <v>0.56603773999999996</v>
      </c>
      <c r="N13" s="11">
        <v>0.56603773999999996</v>
      </c>
      <c r="O13" s="11">
        <v>0.57223265000000001</v>
      </c>
      <c r="P13" s="11">
        <v>0.47131148</v>
      </c>
      <c r="Q13" s="11">
        <v>0.47131148</v>
      </c>
      <c r="R13" s="11">
        <v>0.47861506999999998</v>
      </c>
      <c r="S13" s="11">
        <v>0.37610619000000001</v>
      </c>
    </row>
    <row r="14" spans="1:19" x14ac:dyDescent="0.25">
      <c r="A14" s="9" t="s">
        <v>30</v>
      </c>
      <c r="B14" s="11">
        <v>0.53398058000000004</v>
      </c>
      <c r="C14" s="11">
        <v>0.43340381</v>
      </c>
      <c r="D14" s="11">
        <v>0.48582996000000001</v>
      </c>
      <c r="E14" s="11">
        <v>0.35874439000000002</v>
      </c>
      <c r="F14" s="11">
        <v>0.52062867999999995</v>
      </c>
      <c r="G14" s="11">
        <v>0.53398058000000004</v>
      </c>
      <c r="H14" s="11">
        <v>0.5</v>
      </c>
      <c r="I14" s="11">
        <v>0.52062867999999995</v>
      </c>
      <c r="J14" s="11">
        <v>0.48582996000000001</v>
      </c>
      <c r="K14" s="11">
        <v>0.53398058000000004</v>
      </c>
      <c r="L14" s="11">
        <v>0.60218978000000001</v>
      </c>
      <c r="M14" s="11">
        <v>0.59040590000000004</v>
      </c>
      <c r="N14" s="11">
        <v>0.5597723</v>
      </c>
      <c r="O14" s="11">
        <v>0.52734375</v>
      </c>
      <c r="P14" s="11">
        <v>0.58441558000000005</v>
      </c>
      <c r="Q14" s="11">
        <v>0.52062867999999995</v>
      </c>
      <c r="R14" s="11">
        <v>0.40130152000000002</v>
      </c>
      <c r="S14" s="11">
        <v>0.42553191000000001</v>
      </c>
    </row>
    <row r="15" spans="1:19" x14ac:dyDescent="0.25">
      <c r="A15" s="9" t="s">
        <v>31</v>
      </c>
      <c r="B15" s="11">
        <v>0.47861506999999998</v>
      </c>
      <c r="C15" s="11">
        <v>0.48582996000000001</v>
      </c>
      <c r="D15" s="11">
        <v>0.41755889000000002</v>
      </c>
      <c r="E15" s="11">
        <v>0.40130152000000002</v>
      </c>
      <c r="F15" s="11">
        <v>0.55343511000000001</v>
      </c>
      <c r="G15" s="11">
        <v>0.53398058000000004</v>
      </c>
      <c r="H15" s="11">
        <v>0.46391753000000002</v>
      </c>
      <c r="I15" s="11">
        <v>0.52062867999999995</v>
      </c>
      <c r="J15" s="11">
        <v>0.65217391000000002</v>
      </c>
      <c r="K15" s="11">
        <v>0.54702494999999995</v>
      </c>
      <c r="L15" s="11">
        <v>0.53398058000000004</v>
      </c>
      <c r="M15" s="11">
        <v>0.53398058000000004</v>
      </c>
      <c r="N15" s="11">
        <v>0.5597723</v>
      </c>
      <c r="O15" s="11">
        <v>0.53398058000000004</v>
      </c>
      <c r="P15" s="11">
        <v>0.54054053999999996</v>
      </c>
      <c r="Q15" s="11">
        <v>0.45643154000000002</v>
      </c>
      <c r="R15" s="11">
        <v>0.44885176999999998</v>
      </c>
      <c r="S15" s="11">
        <v>0.43340381</v>
      </c>
    </row>
    <row r="16" spans="1:19" x14ac:dyDescent="0.25">
      <c r="A16" s="9" t="s">
        <v>32</v>
      </c>
      <c r="B16" s="11">
        <v>0.47131148</v>
      </c>
      <c r="C16" s="11">
        <v>0.52734375</v>
      </c>
      <c r="D16" s="11">
        <v>0.45643154000000002</v>
      </c>
      <c r="E16" s="11">
        <v>0.52062867999999995</v>
      </c>
      <c r="F16" s="11">
        <v>0.51383398999999996</v>
      </c>
      <c r="G16" s="11">
        <v>0.5</v>
      </c>
      <c r="H16" s="11">
        <v>0.58441558000000005</v>
      </c>
      <c r="I16" s="11">
        <v>0.57835820999999998</v>
      </c>
      <c r="J16" s="11">
        <v>0.53398058000000004</v>
      </c>
      <c r="K16" s="11">
        <v>0.53398058000000004</v>
      </c>
      <c r="L16" s="11">
        <v>0.63604240000000001</v>
      </c>
      <c r="M16" s="11">
        <v>0.625</v>
      </c>
      <c r="N16" s="11">
        <v>0.48582996000000001</v>
      </c>
      <c r="O16" s="11">
        <v>0.57223265000000001</v>
      </c>
      <c r="P16" s="11">
        <v>0.52734375</v>
      </c>
      <c r="Q16" s="11">
        <v>0.54702494999999995</v>
      </c>
      <c r="R16" s="11">
        <v>0.47131148</v>
      </c>
      <c r="S16" s="11">
        <v>0.45643154000000002</v>
      </c>
    </row>
    <row r="17" spans="1:19" x14ac:dyDescent="0.25">
      <c r="A17" s="9" t="s">
        <v>33</v>
      </c>
      <c r="B17" s="11">
        <v>0.43340381</v>
      </c>
      <c r="C17" s="11">
        <v>0.5</v>
      </c>
      <c r="D17" s="11">
        <v>0.3930131</v>
      </c>
      <c r="E17" s="11">
        <v>0.42553191000000001</v>
      </c>
      <c r="F17" s="11">
        <v>0.47861506999999998</v>
      </c>
      <c r="G17" s="11">
        <v>0.52734375</v>
      </c>
      <c r="H17" s="11">
        <v>0.53398058000000004</v>
      </c>
      <c r="I17" s="11">
        <v>0.52734375</v>
      </c>
      <c r="J17" s="11">
        <v>0.59040590000000004</v>
      </c>
      <c r="K17" s="11">
        <v>0.52734375</v>
      </c>
      <c r="L17" s="11">
        <v>0.61371841000000005</v>
      </c>
      <c r="M17" s="11">
        <v>0.5</v>
      </c>
      <c r="N17" s="11">
        <v>0.58441558000000005</v>
      </c>
      <c r="O17" s="11">
        <v>0.59040590000000004</v>
      </c>
      <c r="P17" s="11">
        <v>0.53398058000000004</v>
      </c>
      <c r="Q17" s="11">
        <v>0.5</v>
      </c>
      <c r="R17" s="11">
        <v>0.37610619000000001</v>
      </c>
      <c r="S17" s="11">
        <v>0.46391753000000002</v>
      </c>
    </row>
    <row r="18" spans="1:19" x14ac:dyDescent="0.25">
      <c r="A18" s="9" t="s">
        <v>34</v>
      </c>
      <c r="B18" s="11">
        <v>0.47861506999999998</v>
      </c>
      <c r="C18" s="11">
        <v>0.46391753000000002</v>
      </c>
      <c r="D18" s="11">
        <v>0.51383398999999996</v>
      </c>
      <c r="E18" s="11">
        <v>0.38461538000000001</v>
      </c>
      <c r="F18" s="11">
        <v>0.40948276</v>
      </c>
      <c r="G18" s="11">
        <v>0.48582996000000001</v>
      </c>
      <c r="H18" s="11">
        <v>0.50695825000000005</v>
      </c>
      <c r="I18" s="11">
        <v>0.48582996000000001</v>
      </c>
      <c r="J18" s="11">
        <v>0.54054053999999996</v>
      </c>
      <c r="K18" s="11">
        <v>0.68296796000000004</v>
      </c>
      <c r="L18" s="11">
        <v>0.59040590000000004</v>
      </c>
      <c r="M18" s="11">
        <v>0.64685314999999999</v>
      </c>
      <c r="N18" s="11">
        <v>0.55343511000000001</v>
      </c>
      <c r="O18" s="11">
        <v>0.55343511000000001</v>
      </c>
      <c r="P18" s="11">
        <v>0.47861506999999998</v>
      </c>
      <c r="Q18" s="11">
        <v>0.43340381</v>
      </c>
      <c r="R18" s="11">
        <v>0.5</v>
      </c>
      <c r="S18" s="11">
        <v>0.47131148</v>
      </c>
    </row>
    <row r="19" spans="1:19" x14ac:dyDescent="0.25">
      <c r="A19" s="9" t="s">
        <v>35</v>
      </c>
      <c r="B19" s="11">
        <v>0.48582996000000001</v>
      </c>
      <c r="C19" s="11">
        <v>0.47131148</v>
      </c>
      <c r="D19" s="11">
        <v>0.46391753000000002</v>
      </c>
      <c r="E19" s="11">
        <v>0.44117646999999999</v>
      </c>
      <c r="F19" s="11">
        <v>0.33180778</v>
      </c>
      <c r="G19" s="11">
        <v>0.47131148</v>
      </c>
      <c r="H19" s="11">
        <v>0.53398058000000004</v>
      </c>
      <c r="I19" s="11">
        <v>0.54054053999999996</v>
      </c>
      <c r="J19" s="11">
        <v>0.54054053999999996</v>
      </c>
      <c r="K19" s="11">
        <v>0.57835820999999998</v>
      </c>
      <c r="L19" s="11">
        <v>0.60798547999999997</v>
      </c>
      <c r="M19" s="11">
        <v>0.57223265000000001</v>
      </c>
      <c r="N19" s="11">
        <v>0.57223265000000001</v>
      </c>
      <c r="O19" s="11">
        <v>0.46391753000000002</v>
      </c>
      <c r="P19" s="11">
        <v>0.48582996000000001</v>
      </c>
      <c r="Q19" s="11">
        <v>0.47131148</v>
      </c>
      <c r="R19" s="11">
        <v>0.46391753000000002</v>
      </c>
      <c r="S19" s="11">
        <v>0.52734375</v>
      </c>
    </row>
    <row r="20" spans="1:19" x14ac:dyDescent="0.25">
      <c r="A20" s="9" t="s">
        <v>36</v>
      </c>
      <c r="B20" s="11">
        <v>0.40948276</v>
      </c>
      <c r="C20" s="11">
        <v>0.48582996000000001</v>
      </c>
      <c r="D20" s="11">
        <v>0.46391753000000002</v>
      </c>
      <c r="E20" s="11">
        <v>0.40130152000000002</v>
      </c>
      <c r="F20" s="11">
        <v>0.50695825000000005</v>
      </c>
      <c r="G20" s="11">
        <v>0.50695825000000005</v>
      </c>
      <c r="H20" s="11">
        <v>0.57835820999999998</v>
      </c>
      <c r="I20" s="11">
        <v>0.52734375</v>
      </c>
      <c r="J20" s="11">
        <v>0.54702494999999995</v>
      </c>
      <c r="K20" s="11">
        <v>0.56603773999999996</v>
      </c>
      <c r="L20" s="11">
        <v>0.625</v>
      </c>
      <c r="M20" s="11">
        <v>0.61938959000000005</v>
      </c>
      <c r="N20" s="11">
        <v>0.58441558000000005</v>
      </c>
      <c r="O20" s="11">
        <v>0.47861506999999998</v>
      </c>
      <c r="P20" s="11">
        <v>0.49295774999999997</v>
      </c>
      <c r="Q20" s="11">
        <v>0.52734375</v>
      </c>
      <c r="R20" s="11">
        <v>0.53398058000000004</v>
      </c>
      <c r="S20" s="11">
        <v>0.45643154000000002</v>
      </c>
    </row>
    <row r="21" spans="1:19" x14ac:dyDescent="0.25">
      <c r="A21" s="9" t="s">
        <v>37</v>
      </c>
      <c r="B21" s="11">
        <v>0.3930131</v>
      </c>
      <c r="C21" s="11">
        <v>0.44117646999999999</v>
      </c>
      <c r="D21" s="11">
        <v>0.46391753000000002</v>
      </c>
      <c r="E21" s="11">
        <v>0.46391753000000002</v>
      </c>
      <c r="F21" s="11">
        <v>0.52734375</v>
      </c>
      <c r="G21" s="11">
        <v>0.44885176999999998</v>
      </c>
      <c r="H21" s="11">
        <v>0.52734375</v>
      </c>
      <c r="I21" s="11">
        <v>0.54702494999999995</v>
      </c>
      <c r="J21" s="11">
        <v>0.53398058000000004</v>
      </c>
      <c r="K21" s="11">
        <v>0.61938959000000005</v>
      </c>
      <c r="L21" s="11">
        <v>0.5597723</v>
      </c>
      <c r="M21" s="11">
        <v>0.52062867999999995</v>
      </c>
      <c r="N21" s="11">
        <v>0.48582996000000001</v>
      </c>
      <c r="O21" s="11">
        <v>0.52062867999999995</v>
      </c>
      <c r="P21" s="11">
        <v>0.37610619000000001</v>
      </c>
      <c r="Q21" s="11">
        <v>0.49295774999999997</v>
      </c>
      <c r="R21" s="11">
        <v>0.38461538000000001</v>
      </c>
      <c r="S21" s="11">
        <v>0.49295774999999997</v>
      </c>
    </row>
    <row r="22" spans="1:19" x14ac:dyDescent="0.25">
      <c r="A22" s="9" t="s">
        <v>38</v>
      </c>
      <c r="B22" s="11">
        <v>0.41755889000000002</v>
      </c>
      <c r="C22" s="11">
        <v>0.42553191000000001</v>
      </c>
      <c r="D22" s="11">
        <v>0.44117646999999999</v>
      </c>
      <c r="E22" s="11">
        <v>0.43340381</v>
      </c>
      <c r="F22" s="11">
        <v>0.5</v>
      </c>
      <c r="G22" s="11">
        <v>0.55343511000000001</v>
      </c>
      <c r="H22" s="11">
        <v>0.50695825000000005</v>
      </c>
      <c r="I22" s="11">
        <v>0.55343511000000001</v>
      </c>
      <c r="J22" s="11">
        <v>0.58441558000000005</v>
      </c>
      <c r="K22" s="11">
        <v>0.57835820999999998</v>
      </c>
      <c r="L22" s="11">
        <v>0.61938959000000005</v>
      </c>
      <c r="M22" s="11">
        <v>0.52734375</v>
      </c>
      <c r="N22" s="11">
        <v>0.60218978000000001</v>
      </c>
      <c r="O22" s="11">
        <v>0.51383398999999996</v>
      </c>
      <c r="P22" s="11">
        <v>0.43340381</v>
      </c>
      <c r="Q22" s="11">
        <v>0.51383398999999996</v>
      </c>
      <c r="R22" s="11">
        <v>0.47131148</v>
      </c>
      <c r="S22" s="11">
        <v>0.44117646999999999</v>
      </c>
    </row>
    <row r="23" spans="1:19" x14ac:dyDescent="0.25">
      <c r="A23" s="9" t="s">
        <v>39</v>
      </c>
      <c r="B23" s="11">
        <v>0.41755889000000002</v>
      </c>
      <c r="C23" s="11">
        <v>0.44117646999999999</v>
      </c>
      <c r="D23" s="11">
        <v>0.45643154000000002</v>
      </c>
      <c r="E23" s="11">
        <v>0.41755889000000002</v>
      </c>
      <c r="F23" s="11">
        <v>0.47861506999999998</v>
      </c>
      <c r="G23" s="11">
        <v>0.53398058000000004</v>
      </c>
      <c r="H23" s="11">
        <v>0.40948276</v>
      </c>
      <c r="I23" s="11">
        <v>0.54702494999999995</v>
      </c>
      <c r="J23" s="11">
        <v>0.5</v>
      </c>
      <c r="K23" s="11">
        <v>0.58441558000000005</v>
      </c>
      <c r="L23" s="11">
        <v>0.60218978000000001</v>
      </c>
      <c r="M23" s="11">
        <v>0.50695825000000005</v>
      </c>
      <c r="N23" s="11">
        <v>0.52734375</v>
      </c>
      <c r="O23" s="11">
        <v>0.54054053999999996</v>
      </c>
      <c r="P23" s="11">
        <v>0.54054053999999996</v>
      </c>
      <c r="Q23" s="11">
        <v>0.55343511000000001</v>
      </c>
      <c r="R23" s="11">
        <v>0.51383398999999996</v>
      </c>
      <c r="S23" s="11">
        <v>0.40948276</v>
      </c>
    </row>
    <row r="24" spans="1:19" x14ac:dyDescent="0.25">
      <c r="A24" s="9" t="s">
        <v>40</v>
      </c>
      <c r="B24" s="11">
        <v>0.44885176999999998</v>
      </c>
      <c r="C24" s="11">
        <v>0.52062867999999995</v>
      </c>
      <c r="D24" s="11">
        <v>0.5</v>
      </c>
      <c r="E24" s="11">
        <v>0.42553191000000001</v>
      </c>
      <c r="F24" s="11">
        <v>0.53398058000000004</v>
      </c>
      <c r="G24" s="11">
        <v>0.53398058000000004</v>
      </c>
      <c r="H24" s="11">
        <v>0.52734375</v>
      </c>
      <c r="I24" s="11">
        <v>0.49295774999999997</v>
      </c>
      <c r="J24" s="11">
        <v>0.51383398999999996</v>
      </c>
      <c r="K24" s="11">
        <v>0.56603773999999996</v>
      </c>
      <c r="L24" s="11">
        <v>0.59633027999999999</v>
      </c>
      <c r="M24" s="11">
        <v>0.49295774999999997</v>
      </c>
      <c r="N24" s="11">
        <v>0.55343511000000001</v>
      </c>
      <c r="O24" s="11">
        <v>0.54702494999999995</v>
      </c>
      <c r="P24" s="11">
        <v>0.3930131</v>
      </c>
      <c r="Q24" s="11">
        <v>0.45643154000000002</v>
      </c>
      <c r="R24" s="11">
        <v>0.44117646999999999</v>
      </c>
      <c r="S24" s="11">
        <v>0.44885176999999998</v>
      </c>
    </row>
    <row r="25" spans="1:19" x14ac:dyDescent="0.25">
      <c r="A25" s="9" t="s">
        <v>41</v>
      </c>
      <c r="B25" s="11">
        <v>0.32258065000000002</v>
      </c>
      <c r="C25" s="11">
        <v>0.44117646999999999</v>
      </c>
      <c r="D25" s="11">
        <v>0.51383398999999996</v>
      </c>
      <c r="E25" s="11">
        <v>0.43340381</v>
      </c>
      <c r="F25" s="11">
        <v>0.47861506999999998</v>
      </c>
      <c r="G25" s="11">
        <v>0.52734375</v>
      </c>
      <c r="H25" s="11">
        <v>0.54054053999999996</v>
      </c>
      <c r="I25" s="11">
        <v>0.52734375</v>
      </c>
      <c r="J25" s="11">
        <v>0.57223265000000001</v>
      </c>
      <c r="K25" s="11">
        <v>0.52734375</v>
      </c>
      <c r="L25" s="11">
        <v>0.65217391000000002</v>
      </c>
      <c r="M25" s="11">
        <v>0.58441558000000005</v>
      </c>
      <c r="N25" s="11">
        <v>0.52734375</v>
      </c>
      <c r="O25" s="11">
        <v>0.5597723</v>
      </c>
      <c r="P25" s="11">
        <v>0.52062867999999995</v>
      </c>
      <c r="Q25" s="11">
        <v>0.47861506999999998</v>
      </c>
      <c r="R25" s="11">
        <v>0.44117646999999999</v>
      </c>
      <c r="S25" s="11">
        <v>0.37610619000000001</v>
      </c>
    </row>
    <row r="26" spans="1:19" x14ac:dyDescent="0.25">
      <c r="A26" s="9" t="s">
        <v>42</v>
      </c>
      <c r="B26" s="11">
        <v>0.52062867999999995</v>
      </c>
      <c r="C26" s="11">
        <v>0.48582996000000001</v>
      </c>
      <c r="D26" s="11">
        <v>0.44885176999999998</v>
      </c>
      <c r="E26" s="11">
        <v>0.45643154000000002</v>
      </c>
      <c r="F26" s="11">
        <v>0.47861506999999998</v>
      </c>
      <c r="G26" s="11">
        <v>0.49295774999999997</v>
      </c>
      <c r="H26" s="11">
        <v>0.49295774999999997</v>
      </c>
      <c r="I26" s="11">
        <v>0.56603773999999996</v>
      </c>
      <c r="J26" s="11">
        <v>0.55343511000000001</v>
      </c>
      <c r="K26" s="11">
        <v>0.60798547999999997</v>
      </c>
      <c r="L26" s="11">
        <v>0.65743945000000004</v>
      </c>
      <c r="M26" s="11">
        <v>0.58441558000000005</v>
      </c>
      <c r="N26" s="11">
        <v>0.54054053999999996</v>
      </c>
      <c r="O26" s="11">
        <v>0.51383398999999996</v>
      </c>
      <c r="P26" s="11">
        <v>0.55343511000000001</v>
      </c>
      <c r="Q26" s="11">
        <v>0.59633027999999999</v>
      </c>
      <c r="R26" s="11">
        <v>0.45643154000000002</v>
      </c>
      <c r="S26" s="11">
        <v>0.46391753000000002</v>
      </c>
    </row>
    <row r="27" spans="1:19" x14ac:dyDescent="0.25">
      <c r="A27" s="9" t="s">
        <v>43</v>
      </c>
      <c r="B27" s="11">
        <v>0.49295774999999997</v>
      </c>
      <c r="C27" s="11">
        <v>0.49295774999999997</v>
      </c>
      <c r="D27" s="11">
        <v>0.44117646999999999</v>
      </c>
      <c r="E27" s="11">
        <v>0.37610619000000001</v>
      </c>
      <c r="F27" s="11">
        <v>0.5</v>
      </c>
      <c r="G27" s="11">
        <v>0.46391753000000002</v>
      </c>
      <c r="H27" s="11">
        <v>0.46391753000000002</v>
      </c>
      <c r="I27" s="11">
        <v>0.5597723</v>
      </c>
      <c r="J27" s="11">
        <v>0.56603773999999996</v>
      </c>
      <c r="K27" s="11">
        <v>0.63604240000000001</v>
      </c>
      <c r="L27" s="11">
        <v>0.65743945000000004</v>
      </c>
      <c r="M27" s="11">
        <v>0.54054053999999996</v>
      </c>
      <c r="N27" s="11">
        <v>0.53398058000000004</v>
      </c>
      <c r="O27" s="11">
        <v>0.42553191000000001</v>
      </c>
      <c r="P27" s="11">
        <v>0.54702494999999995</v>
      </c>
      <c r="Q27" s="11">
        <v>0.44885176999999998</v>
      </c>
      <c r="R27" s="11">
        <v>0.54702494999999995</v>
      </c>
      <c r="S27" s="11">
        <v>0.34988712999999999</v>
      </c>
    </row>
    <row r="28" spans="1:19" x14ac:dyDescent="0.25">
      <c r="A28" s="9" t="s">
        <v>44</v>
      </c>
      <c r="B28" s="11">
        <v>0.48582996000000001</v>
      </c>
      <c r="C28" s="11">
        <v>0.47861506999999998</v>
      </c>
      <c r="D28" s="11">
        <v>0.52734375</v>
      </c>
      <c r="E28" s="11">
        <v>0.47861506999999998</v>
      </c>
      <c r="F28" s="11">
        <v>0.36748330000000001</v>
      </c>
      <c r="G28" s="11">
        <v>0.61938959000000005</v>
      </c>
      <c r="H28" s="11">
        <v>0.54054053999999996</v>
      </c>
      <c r="I28" s="11">
        <v>0.52062867999999995</v>
      </c>
      <c r="J28" s="11">
        <v>0.59633027999999999</v>
      </c>
      <c r="K28" s="11">
        <v>0.58441558000000005</v>
      </c>
      <c r="L28" s="11">
        <v>0.60798547999999997</v>
      </c>
      <c r="M28" s="11">
        <v>0.52734375</v>
      </c>
      <c r="N28" s="11">
        <v>0.55343511000000001</v>
      </c>
      <c r="O28" s="11">
        <v>0.50695825000000005</v>
      </c>
      <c r="P28" s="11">
        <v>0.46391753000000002</v>
      </c>
      <c r="Q28" s="11">
        <v>0.5</v>
      </c>
      <c r="R28" s="11">
        <v>0.40948276</v>
      </c>
      <c r="S28" s="11">
        <v>0.47861506999999998</v>
      </c>
    </row>
    <row r="29" spans="1:19" x14ac:dyDescent="0.25">
      <c r="A29" s="9" t="s">
        <v>45</v>
      </c>
      <c r="B29" s="11">
        <v>0.52062867999999995</v>
      </c>
      <c r="C29" s="11">
        <v>0.42553191000000001</v>
      </c>
      <c r="D29" s="11">
        <v>0.40130152000000002</v>
      </c>
      <c r="E29" s="11">
        <v>0.47131148</v>
      </c>
      <c r="F29" s="11">
        <v>0.50695825000000005</v>
      </c>
      <c r="G29" s="11">
        <v>0.41755889000000002</v>
      </c>
      <c r="H29" s="11">
        <v>0.56603773999999996</v>
      </c>
      <c r="I29" s="11">
        <v>0.51383398999999996</v>
      </c>
      <c r="J29" s="11">
        <v>0.53398058000000004</v>
      </c>
      <c r="K29" s="11">
        <v>0.61371841000000005</v>
      </c>
      <c r="L29" s="11">
        <v>0.63055061999999995</v>
      </c>
      <c r="M29" s="11">
        <v>0.54702494999999995</v>
      </c>
      <c r="N29" s="11">
        <v>0.53398058000000004</v>
      </c>
      <c r="O29" s="11">
        <v>0.52734375</v>
      </c>
      <c r="P29" s="11">
        <v>0.49295774999999997</v>
      </c>
      <c r="Q29" s="11">
        <v>0.54702494999999995</v>
      </c>
      <c r="R29" s="11">
        <v>0.53398058000000004</v>
      </c>
      <c r="S29" s="11">
        <v>0.47131148</v>
      </c>
    </row>
    <row r="30" spans="1:19" x14ac:dyDescent="0.25">
      <c r="A30" s="9" t="s">
        <v>46</v>
      </c>
      <c r="B30" s="11">
        <v>0.52734375</v>
      </c>
      <c r="C30" s="11">
        <v>0.54054053999999996</v>
      </c>
      <c r="D30" s="11">
        <v>0.49295774999999997</v>
      </c>
      <c r="E30" s="11">
        <v>0.42553191000000001</v>
      </c>
      <c r="F30" s="11">
        <v>0.47861506999999998</v>
      </c>
      <c r="G30" s="11">
        <v>0.50695825000000005</v>
      </c>
      <c r="H30" s="11">
        <v>0.54702494999999995</v>
      </c>
      <c r="I30" s="11">
        <v>0.56603773999999996</v>
      </c>
      <c r="J30" s="11">
        <v>0.5597723</v>
      </c>
      <c r="K30" s="11">
        <v>0.49295774999999997</v>
      </c>
      <c r="L30" s="11">
        <v>0.60798547999999997</v>
      </c>
      <c r="M30" s="11">
        <v>0.57223265000000001</v>
      </c>
      <c r="N30" s="11">
        <v>0.55343511000000001</v>
      </c>
      <c r="O30" s="11">
        <v>0.49295774999999997</v>
      </c>
      <c r="P30" s="11">
        <v>0.52734375</v>
      </c>
      <c r="Q30" s="11">
        <v>0.43340381</v>
      </c>
      <c r="R30" s="11">
        <v>0.44885176999999998</v>
      </c>
      <c r="S30" s="11">
        <v>0.52734375</v>
      </c>
    </row>
    <row r="31" spans="1:19" x14ac:dyDescent="0.25">
      <c r="A31" s="9" t="s">
        <v>47</v>
      </c>
      <c r="B31" s="11">
        <v>0.46391753000000002</v>
      </c>
      <c r="C31" s="11">
        <v>0.46391753000000002</v>
      </c>
      <c r="D31" s="11">
        <v>0.41755889000000002</v>
      </c>
      <c r="E31" s="11">
        <v>0.35874439000000002</v>
      </c>
      <c r="F31" s="11">
        <v>0.52062867999999995</v>
      </c>
      <c r="G31" s="11">
        <v>0.47861506999999998</v>
      </c>
      <c r="H31" s="11">
        <v>0.53398058000000004</v>
      </c>
      <c r="I31" s="11">
        <v>0.5597723</v>
      </c>
      <c r="J31" s="11">
        <v>0.625</v>
      </c>
      <c r="K31" s="11">
        <v>0.54054053999999996</v>
      </c>
      <c r="L31" s="11">
        <v>0.59040590000000004</v>
      </c>
      <c r="M31" s="11">
        <v>0.54702494999999995</v>
      </c>
      <c r="N31" s="11">
        <v>0.49295774999999997</v>
      </c>
      <c r="O31" s="11">
        <v>0.52062867999999995</v>
      </c>
      <c r="P31" s="11">
        <v>0.44117646999999999</v>
      </c>
      <c r="Q31" s="11">
        <v>0.51383398999999996</v>
      </c>
      <c r="R31" s="11">
        <v>0.54702494999999995</v>
      </c>
      <c r="S31" s="11">
        <v>0.47131148</v>
      </c>
    </row>
    <row r="32" spans="1:19" x14ac:dyDescent="0.25">
      <c r="A32" s="9" t="s">
        <v>48</v>
      </c>
      <c r="B32" s="11">
        <f>AVERAGE(B2:B31)</f>
        <v>0.45942443066666655</v>
      </c>
      <c r="C32" s="11">
        <f t="shared" ref="C32:S32" si="0">AVERAGE(C2:C31)</f>
        <v>0.47443601033333338</v>
      </c>
      <c r="D32" s="11">
        <f t="shared" si="0"/>
        <v>0.46595871566666669</v>
      </c>
      <c r="E32" s="11">
        <f t="shared" si="0"/>
        <v>0.43372895400000006</v>
      </c>
      <c r="F32" s="11">
        <f t="shared" si="0"/>
        <v>0.48857256199999999</v>
      </c>
      <c r="G32" s="11">
        <f t="shared" si="0"/>
        <v>0.506221272</v>
      </c>
      <c r="H32" s="11">
        <f t="shared" si="0"/>
        <v>0.52518231999999998</v>
      </c>
      <c r="I32" s="11">
        <f t="shared" si="0"/>
        <v>0.53619994166666662</v>
      </c>
      <c r="J32" s="11">
        <f t="shared" si="0"/>
        <v>0.56198293733333327</v>
      </c>
      <c r="K32" s="11">
        <f t="shared" si="0"/>
        <v>0.57931324766666659</v>
      </c>
      <c r="L32" s="11">
        <f t="shared" si="0"/>
        <v>0.6018618423333334</v>
      </c>
      <c r="M32" s="11">
        <f t="shared" si="0"/>
        <v>0.55515577100000013</v>
      </c>
      <c r="N32" s="11">
        <f t="shared" si="0"/>
        <v>0.5409881763333334</v>
      </c>
      <c r="O32" s="11">
        <f t="shared" si="0"/>
        <v>0.52340428466666666</v>
      </c>
      <c r="P32" s="11">
        <f t="shared" si="0"/>
        <v>0.50127162433333328</v>
      </c>
      <c r="Q32" s="11">
        <f t="shared" si="0"/>
        <v>0.48697806733333332</v>
      </c>
      <c r="R32" s="11">
        <f t="shared" si="0"/>
        <v>0.47113764900000005</v>
      </c>
      <c r="S32" s="11">
        <f t="shared" si="0"/>
        <v>0.44622682233333333</v>
      </c>
    </row>
    <row r="33" spans="1:19" x14ac:dyDescent="0.25">
      <c r="A33" s="9" t="s">
        <v>49</v>
      </c>
      <c r="B33" s="10">
        <f>_xlfn.STDEV.P(B2:B31)</f>
        <v>5.2931846591049228E-2</v>
      </c>
      <c r="C33" s="10">
        <f t="shared" ref="C33:S33" si="1">_xlfn.STDEV.P(C2:C31)</f>
        <v>3.4975782398826136E-2</v>
      </c>
      <c r="D33" s="10">
        <f t="shared" si="1"/>
        <v>4.4630997640757071E-2</v>
      </c>
      <c r="E33" s="10">
        <f t="shared" si="1"/>
        <v>4.626463741614413E-2</v>
      </c>
      <c r="F33" s="10">
        <f t="shared" si="1"/>
        <v>5.0097528553416253E-2</v>
      </c>
      <c r="G33" s="10">
        <f t="shared" si="1"/>
        <v>4.0479054104362949E-2</v>
      </c>
      <c r="H33" s="10">
        <f t="shared" si="1"/>
        <v>3.8523028101701627E-2</v>
      </c>
      <c r="I33" s="10">
        <f t="shared" si="1"/>
        <v>2.1697400022921649E-2</v>
      </c>
      <c r="J33" s="10">
        <f t="shared" si="1"/>
        <v>4.3764574118423841E-2</v>
      </c>
      <c r="K33" s="10">
        <f t="shared" si="1"/>
        <v>3.9823118659533585E-2</v>
      </c>
      <c r="L33" s="10">
        <f t="shared" si="1"/>
        <v>3.7576186591461502E-2</v>
      </c>
      <c r="M33" s="10">
        <f t="shared" si="1"/>
        <v>3.9897632864002129E-2</v>
      </c>
      <c r="N33" s="10">
        <f t="shared" si="1"/>
        <v>3.4701242590778753E-2</v>
      </c>
      <c r="O33" s="10">
        <f t="shared" si="1"/>
        <v>3.4701633630742967E-2</v>
      </c>
      <c r="P33" s="10">
        <f t="shared" si="1"/>
        <v>5.1488300287218888E-2</v>
      </c>
      <c r="Q33" s="10">
        <f t="shared" si="1"/>
        <v>5.3264227854418852E-2</v>
      </c>
      <c r="R33" s="10">
        <f t="shared" si="1"/>
        <v>5.0166617882165268E-2</v>
      </c>
      <c r="S33" s="10">
        <f t="shared" si="1"/>
        <v>4.4460302374031944E-2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6540-4089-4FEB-90C7-3A92B41475B4}">
  <sheetPr codeName="Tabelle8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9" t="s">
        <v>80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x14ac:dyDescent="0.25">
      <c r="A2" s="9" t="s">
        <v>18</v>
      </c>
      <c r="B2" s="11">
        <v>0.72123177000000005</v>
      </c>
      <c r="C2" s="11">
        <v>0.67291312000000003</v>
      </c>
      <c r="D2" s="11">
        <v>0.78148709999999999</v>
      </c>
      <c r="E2" s="11">
        <v>0.74803149999999996</v>
      </c>
      <c r="F2" s="11">
        <v>0.73482428</v>
      </c>
      <c r="G2" s="11">
        <v>0.78947367999999996</v>
      </c>
      <c r="H2" s="11">
        <v>0.78947367999999996</v>
      </c>
      <c r="I2" s="11">
        <v>0.80502216000000004</v>
      </c>
      <c r="J2" s="11">
        <v>0.77743901999999998</v>
      </c>
      <c r="K2" s="11">
        <v>0.82369941999999996</v>
      </c>
      <c r="L2" s="11">
        <v>0.73033707999999997</v>
      </c>
      <c r="M2" s="11">
        <v>0.76506954999999999</v>
      </c>
      <c r="N2" s="11">
        <v>0.76086957</v>
      </c>
      <c r="O2" s="11">
        <v>0.78549849000000005</v>
      </c>
      <c r="P2" s="11">
        <v>0.64147626999999996</v>
      </c>
      <c r="Q2" s="11">
        <v>0.68791946000000004</v>
      </c>
      <c r="R2" s="11">
        <v>0.72123177000000005</v>
      </c>
      <c r="S2" s="11">
        <v>0.71661238000000005</v>
      </c>
    </row>
    <row r="3" spans="1:19" x14ac:dyDescent="0.25">
      <c r="A3" s="9" t="s">
        <v>19</v>
      </c>
      <c r="B3" s="11">
        <v>0.74367088999999997</v>
      </c>
      <c r="C3" s="11">
        <v>0.73926868000000001</v>
      </c>
      <c r="D3" s="11">
        <v>0.78549849000000005</v>
      </c>
      <c r="E3" s="11">
        <v>0.76923076999999995</v>
      </c>
      <c r="F3" s="11">
        <v>0.76086957</v>
      </c>
      <c r="G3" s="11">
        <v>0.80118694000000001</v>
      </c>
      <c r="H3" s="11">
        <v>0.82733813</v>
      </c>
      <c r="I3" s="11">
        <v>0.80882352999999996</v>
      </c>
      <c r="J3" s="11">
        <v>0.79341317</v>
      </c>
      <c r="K3" s="11">
        <v>0.78947367999999996</v>
      </c>
      <c r="L3" s="11">
        <v>0.81632652999999999</v>
      </c>
      <c r="M3" s="11">
        <v>0.81259150999999996</v>
      </c>
      <c r="N3" s="11">
        <v>0.80882352999999996</v>
      </c>
      <c r="O3" s="11">
        <v>0.77335374999999995</v>
      </c>
      <c r="P3" s="11">
        <v>0.75235110000000005</v>
      </c>
      <c r="Q3" s="11">
        <v>0.65743945000000004</v>
      </c>
      <c r="R3" s="11">
        <v>0.72123177000000005</v>
      </c>
      <c r="S3" s="11">
        <v>0.69282136999999999</v>
      </c>
    </row>
    <row r="4" spans="1:19" x14ac:dyDescent="0.25">
      <c r="A4" s="9" t="s">
        <v>20</v>
      </c>
      <c r="B4" s="11">
        <v>0.71194763000000005</v>
      </c>
      <c r="C4" s="11">
        <v>0.70247934000000001</v>
      </c>
      <c r="D4" s="11">
        <v>0.78549849000000005</v>
      </c>
      <c r="E4" s="11">
        <v>0.78148709999999999</v>
      </c>
      <c r="F4" s="11">
        <v>0.75663027000000005</v>
      </c>
      <c r="G4" s="11">
        <v>0.75663027000000005</v>
      </c>
      <c r="H4" s="11">
        <v>0.78549849000000005</v>
      </c>
      <c r="I4" s="11">
        <v>0.80118694000000001</v>
      </c>
      <c r="J4" s="11">
        <v>0.77335374999999995</v>
      </c>
      <c r="K4" s="11">
        <v>0.81632652999999999</v>
      </c>
      <c r="L4" s="11">
        <v>0.76086957</v>
      </c>
      <c r="M4" s="11">
        <v>0.75235110000000005</v>
      </c>
      <c r="N4" s="11">
        <v>0.74367088999999997</v>
      </c>
      <c r="O4" s="11">
        <v>0.75235110000000005</v>
      </c>
      <c r="P4" s="11">
        <v>0.77743901999999998</v>
      </c>
      <c r="Q4" s="11">
        <v>0.74803149999999996</v>
      </c>
      <c r="R4" s="11">
        <v>0.74367088999999997</v>
      </c>
      <c r="S4" s="11">
        <v>0.70247934000000001</v>
      </c>
    </row>
    <row r="5" spans="1:19" x14ac:dyDescent="0.25">
      <c r="A5" s="9" t="s">
        <v>21</v>
      </c>
      <c r="B5" s="11">
        <v>0.73033707999999997</v>
      </c>
      <c r="C5" s="11">
        <v>0.77335374999999995</v>
      </c>
      <c r="D5" s="11">
        <v>0.80882352999999996</v>
      </c>
      <c r="E5" s="11">
        <v>0.74803149999999996</v>
      </c>
      <c r="F5" s="11">
        <v>0.79341317</v>
      </c>
      <c r="G5" s="11">
        <v>0.78148709999999999</v>
      </c>
      <c r="H5" s="11">
        <v>0.80118694000000001</v>
      </c>
      <c r="I5" s="11">
        <v>0.79731744000000004</v>
      </c>
      <c r="J5" s="11">
        <v>0.79731744000000004</v>
      </c>
      <c r="K5" s="11">
        <v>0.80118694000000001</v>
      </c>
      <c r="L5" s="11">
        <v>0.80502216000000004</v>
      </c>
      <c r="M5" s="11">
        <v>0.75235110000000005</v>
      </c>
      <c r="N5" s="11">
        <v>0.78947367999999996</v>
      </c>
      <c r="O5" s="11">
        <v>0.78148709999999999</v>
      </c>
      <c r="P5" s="11">
        <v>0.73926868000000001</v>
      </c>
      <c r="Q5" s="11">
        <v>0.76506954999999999</v>
      </c>
      <c r="R5" s="11">
        <v>0.70723683999999998</v>
      </c>
      <c r="S5" s="11">
        <v>0.70723683999999998</v>
      </c>
    </row>
    <row r="6" spans="1:19" x14ac:dyDescent="0.25">
      <c r="A6" s="9" t="s">
        <v>22</v>
      </c>
      <c r="B6" s="11">
        <v>0.72580644999999999</v>
      </c>
      <c r="C6" s="11">
        <v>0.71661238000000005</v>
      </c>
      <c r="D6" s="11">
        <v>0.81632652999999999</v>
      </c>
      <c r="E6" s="11">
        <v>0.69282136999999999</v>
      </c>
      <c r="F6" s="11">
        <v>0.77743901999999998</v>
      </c>
      <c r="G6" s="11">
        <v>0.78148709999999999</v>
      </c>
      <c r="H6" s="11">
        <v>0.78148709999999999</v>
      </c>
      <c r="I6" s="11">
        <v>0.76923076999999995</v>
      </c>
      <c r="J6" s="11">
        <v>0.74367088999999997</v>
      </c>
      <c r="K6" s="11">
        <v>0.81632652999999999</v>
      </c>
      <c r="L6" s="11">
        <v>0.83452210999999998</v>
      </c>
      <c r="M6" s="11">
        <v>0.81259150999999996</v>
      </c>
      <c r="N6" s="11">
        <v>0.78148709999999999</v>
      </c>
      <c r="O6" s="11">
        <v>0.75235110000000005</v>
      </c>
      <c r="P6" s="11">
        <v>0.70723683999999998</v>
      </c>
      <c r="Q6" s="11">
        <v>0.71194763000000005</v>
      </c>
      <c r="R6" s="11">
        <v>0.73482428</v>
      </c>
      <c r="S6" s="11">
        <v>0.70247934000000001</v>
      </c>
    </row>
    <row r="7" spans="1:19" x14ac:dyDescent="0.25">
      <c r="A7" s="9" t="s">
        <v>23</v>
      </c>
      <c r="B7" s="11">
        <v>0.70723683999999998</v>
      </c>
      <c r="C7" s="11">
        <v>0.70723683999999998</v>
      </c>
      <c r="D7" s="11">
        <v>0.74367088999999997</v>
      </c>
      <c r="E7" s="11">
        <v>0.76086957</v>
      </c>
      <c r="F7" s="11">
        <v>0.78549849000000005</v>
      </c>
      <c r="G7" s="11">
        <v>0.82733813</v>
      </c>
      <c r="H7" s="11">
        <v>0.78148709999999999</v>
      </c>
      <c r="I7" s="11">
        <v>0.79341317</v>
      </c>
      <c r="J7" s="11">
        <v>0.75663027000000005</v>
      </c>
      <c r="K7" s="11">
        <v>0.82369941999999996</v>
      </c>
      <c r="L7" s="11">
        <v>0.79731744000000004</v>
      </c>
      <c r="M7" s="11">
        <v>0.76506954999999999</v>
      </c>
      <c r="N7" s="11">
        <v>0.79341317</v>
      </c>
      <c r="O7" s="11">
        <v>0.75663027000000005</v>
      </c>
      <c r="P7" s="11">
        <v>0.72580644999999999</v>
      </c>
      <c r="Q7" s="11">
        <v>0.71661238000000005</v>
      </c>
      <c r="R7" s="11">
        <v>0.72123177000000005</v>
      </c>
      <c r="S7" s="11">
        <v>0.72580644999999999</v>
      </c>
    </row>
    <row r="8" spans="1:19" x14ac:dyDescent="0.25">
      <c r="A8" s="9" t="s">
        <v>24</v>
      </c>
      <c r="B8" s="11">
        <v>0.73926868000000001</v>
      </c>
      <c r="C8" s="11">
        <v>0.69767442000000002</v>
      </c>
      <c r="D8" s="11">
        <v>0.79341317</v>
      </c>
      <c r="E8" s="11">
        <v>0.77335374999999995</v>
      </c>
      <c r="F8" s="11">
        <v>0.73926868000000001</v>
      </c>
      <c r="G8" s="11">
        <v>0.82369941999999996</v>
      </c>
      <c r="H8" s="11">
        <v>0.82369941999999996</v>
      </c>
      <c r="I8" s="11">
        <v>0.77743901999999998</v>
      </c>
      <c r="J8" s="11">
        <v>0.81259150999999996</v>
      </c>
      <c r="K8" s="11">
        <v>0.82002903000000005</v>
      </c>
      <c r="L8" s="11">
        <v>0.78148709999999999</v>
      </c>
      <c r="M8" s="11">
        <v>0.78947367999999996</v>
      </c>
      <c r="N8" s="11">
        <v>0.78148709999999999</v>
      </c>
      <c r="O8" s="11">
        <v>0.79731744000000004</v>
      </c>
      <c r="P8" s="11">
        <v>0.75663027000000005</v>
      </c>
      <c r="Q8" s="11">
        <v>0.71194763000000005</v>
      </c>
      <c r="R8" s="11">
        <v>0.71194763000000005</v>
      </c>
      <c r="S8" s="11">
        <v>0.71194763000000005</v>
      </c>
    </row>
    <row r="9" spans="1:19" x14ac:dyDescent="0.25">
      <c r="A9" s="9" t="s">
        <v>25</v>
      </c>
      <c r="B9" s="11">
        <v>0.73482428</v>
      </c>
      <c r="C9" s="11">
        <v>0.73033707999999997</v>
      </c>
      <c r="D9" s="11">
        <v>0.79341317</v>
      </c>
      <c r="E9" s="11">
        <v>0.78148709999999999</v>
      </c>
      <c r="F9" s="11">
        <v>0.77335374999999995</v>
      </c>
      <c r="G9" s="11">
        <v>0.71661238000000005</v>
      </c>
      <c r="H9" s="11">
        <v>0.80502216000000004</v>
      </c>
      <c r="I9" s="11">
        <v>0.77335374999999995</v>
      </c>
      <c r="J9" s="11">
        <v>0.82369941999999996</v>
      </c>
      <c r="K9" s="11">
        <v>0.78947367999999996</v>
      </c>
      <c r="L9" s="11">
        <v>0.76086957</v>
      </c>
      <c r="M9" s="11">
        <v>0.79341317</v>
      </c>
      <c r="N9" s="11">
        <v>0.76923076999999995</v>
      </c>
      <c r="O9" s="11">
        <v>0.80118694000000001</v>
      </c>
      <c r="P9" s="11">
        <v>0.77743901999999998</v>
      </c>
      <c r="Q9" s="11">
        <v>0.75235110000000005</v>
      </c>
      <c r="R9" s="11">
        <v>0.73926868000000001</v>
      </c>
      <c r="S9" s="11">
        <v>0.66265059999999998</v>
      </c>
    </row>
    <row r="10" spans="1:19" x14ac:dyDescent="0.25">
      <c r="A10" s="9" t="s">
        <v>26</v>
      </c>
      <c r="B10" s="11">
        <v>0.71194763000000005</v>
      </c>
      <c r="C10" s="11">
        <v>0.74803149999999996</v>
      </c>
      <c r="D10" s="11">
        <v>0.80118694000000001</v>
      </c>
      <c r="E10" s="11">
        <v>0.73033707999999997</v>
      </c>
      <c r="F10" s="11">
        <v>0.76923076999999995</v>
      </c>
      <c r="G10" s="11">
        <v>0.77335374999999995</v>
      </c>
      <c r="H10" s="11">
        <v>0.77743901999999998</v>
      </c>
      <c r="I10" s="11">
        <v>0.80882352999999996</v>
      </c>
      <c r="J10" s="11">
        <v>0.78549849000000005</v>
      </c>
      <c r="K10" s="11">
        <v>0.80502216000000004</v>
      </c>
      <c r="L10" s="11">
        <v>0.74367088999999997</v>
      </c>
      <c r="M10" s="11">
        <v>0.78549849000000005</v>
      </c>
      <c r="N10" s="11">
        <v>0.75235110000000005</v>
      </c>
      <c r="O10" s="11">
        <v>0.76086957</v>
      </c>
      <c r="P10" s="11">
        <v>0.76086957</v>
      </c>
      <c r="Q10" s="11">
        <v>0.70723683999999998</v>
      </c>
      <c r="R10" s="11">
        <v>0.73482428</v>
      </c>
      <c r="S10" s="11">
        <v>0.66780821999999995</v>
      </c>
    </row>
    <row r="11" spans="1:19" x14ac:dyDescent="0.25">
      <c r="A11" s="9" t="s">
        <v>27</v>
      </c>
      <c r="B11" s="11">
        <v>0.72580644999999999</v>
      </c>
      <c r="C11" s="11">
        <v>0.73926868000000001</v>
      </c>
      <c r="D11" s="11">
        <v>0.75235110000000005</v>
      </c>
      <c r="E11" s="11">
        <v>0.74367088999999997</v>
      </c>
      <c r="F11" s="11">
        <v>0.72123177000000005</v>
      </c>
      <c r="G11" s="11">
        <v>0.75235110000000005</v>
      </c>
      <c r="H11" s="11">
        <v>0.75235110000000005</v>
      </c>
      <c r="I11" s="11">
        <v>0.82369941999999996</v>
      </c>
      <c r="J11" s="11">
        <v>0.80882352999999996</v>
      </c>
      <c r="K11" s="11">
        <v>0.77335374999999995</v>
      </c>
      <c r="L11" s="11">
        <v>0.75235110000000005</v>
      </c>
      <c r="M11" s="11">
        <v>0.74803149999999996</v>
      </c>
      <c r="N11" s="11">
        <v>0.76086957</v>
      </c>
      <c r="O11" s="11">
        <v>0.80118694000000001</v>
      </c>
      <c r="P11" s="11">
        <v>0.73926868000000001</v>
      </c>
      <c r="Q11" s="11">
        <v>0.75663027000000005</v>
      </c>
      <c r="R11" s="11">
        <v>0.74803149999999996</v>
      </c>
      <c r="S11" s="11">
        <v>0.72580644999999999</v>
      </c>
    </row>
    <row r="12" spans="1:19" x14ac:dyDescent="0.25">
      <c r="A12" s="9" t="s">
        <v>28</v>
      </c>
      <c r="B12" s="11">
        <v>0.66265059999999998</v>
      </c>
      <c r="C12" s="11">
        <v>0.68791946000000004</v>
      </c>
      <c r="D12" s="11">
        <v>0.80118694000000001</v>
      </c>
      <c r="E12" s="11">
        <v>0.71194763000000005</v>
      </c>
      <c r="F12" s="11">
        <v>0.76086957</v>
      </c>
      <c r="G12" s="11">
        <v>0.77743901999999998</v>
      </c>
      <c r="H12" s="11">
        <v>0.80882352999999996</v>
      </c>
      <c r="I12" s="11">
        <v>0.75235110000000005</v>
      </c>
      <c r="J12" s="11">
        <v>0.76086957</v>
      </c>
      <c r="K12" s="11">
        <v>0.79731744000000004</v>
      </c>
      <c r="L12" s="11">
        <v>0.76086957</v>
      </c>
      <c r="M12" s="11">
        <v>0.80502216000000004</v>
      </c>
      <c r="N12" s="11">
        <v>0.77335374999999995</v>
      </c>
      <c r="O12" s="11">
        <v>0.70247934000000001</v>
      </c>
      <c r="P12" s="11">
        <v>0.73033707999999997</v>
      </c>
      <c r="Q12" s="11">
        <v>0.69767442000000002</v>
      </c>
      <c r="R12" s="11">
        <v>0.67291312000000003</v>
      </c>
      <c r="S12" s="11">
        <v>0.72580644999999999</v>
      </c>
    </row>
    <row r="13" spans="1:19" x14ac:dyDescent="0.25">
      <c r="A13" s="9" t="s">
        <v>29</v>
      </c>
      <c r="B13" s="11">
        <v>0.68296796000000004</v>
      </c>
      <c r="C13" s="11">
        <v>0.68791946000000004</v>
      </c>
      <c r="D13" s="11">
        <v>0.73033707999999997</v>
      </c>
      <c r="E13" s="11">
        <v>0.81632652999999999</v>
      </c>
      <c r="F13" s="11">
        <v>0.74367088999999997</v>
      </c>
      <c r="G13" s="11">
        <v>0.73033707999999997</v>
      </c>
      <c r="H13" s="11">
        <v>0.80118694000000001</v>
      </c>
      <c r="I13" s="11">
        <v>0.79341317</v>
      </c>
      <c r="J13" s="11">
        <v>0.78947367999999996</v>
      </c>
      <c r="K13" s="11">
        <v>0.82002903000000005</v>
      </c>
      <c r="L13" s="11">
        <v>0.77335374999999995</v>
      </c>
      <c r="M13" s="11">
        <v>0.77335374999999995</v>
      </c>
      <c r="N13" s="11">
        <v>0.80502216000000004</v>
      </c>
      <c r="O13" s="11">
        <v>0.77335374999999995</v>
      </c>
      <c r="P13" s="11">
        <v>0.73482428</v>
      </c>
      <c r="Q13" s="11">
        <v>0.69767442000000002</v>
      </c>
      <c r="R13" s="11">
        <v>0.67796610000000002</v>
      </c>
      <c r="S13" s="11">
        <v>0.73926868000000001</v>
      </c>
    </row>
    <row r="14" spans="1:19" x14ac:dyDescent="0.25">
      <c r="A14" s="9" t="s">
        <v>30</v>
      </c>
      <c r="B14" s="11">
        <v>0.71661238000000005</v>
      </c>
      <c r="C14" s="11">
        <v>0.69282136999999999</v>
      </c>
      <c r="D14" s="11">
        <v>0.80502216000000004</v>
      </c>
      <c r="E14" s="11">
        <v>0.77335374999999995</v>
      </c>
      <c r="F14" s="11">
        <v>0.82733813</v>
      </c>
      <c r="G14" s="11">
        <v>0.77743901999999998</v>
      </c>
      <c r="H14" s="11">
        <v>0.81632652999999999</v>
      </c>
      <c r="I14" s="11">
        <v>0.77335374999999995</v>
      </c>
      <c r="J14" s="11">
        <v>0.79731744000000004</v>
      </c>
      <c r="K14" s="11">
        <v>0.78549849000000005</v>
      </c>
      <c r="L14" s="11">
        <v>0.74803149999999996</v>
      </c>
      <c r="M14" s="11">
        <v>0.80502216000000004</v>
      </c>
      <c r="N14" s="11">
        <v>0.72580644999999999</v>
      </c>
      <c r="O14" s="11">
        <v>0.73926868000000001</v>
      </c>
      <c r="P14" s="11">
        <v>0.77335374999999995</v>
      </c>
      <c r="Q14" s="11">
        <v>0.74367088999999997</v>
      </c>
      <c r="R14" s="11">
        <v>0.72580644999999999</v>
      </c>
      <c r="S14" s="11">
        <v>0.73482428</v>
      </c>
    </row>
    <row r="15" spans="1:19" x14ac:dyDescent="0.25">
      <c r="A15" s="9" t="s">
        <v>31</v>
      </c>
      <c r="B15" s="11">
        <v>0.70723683999999998</v>
      </c>
      <c r="C15" s="11">
        <v>0.69767442000000002</v>
      </c>
      <c r="D15" s="11">
        <v>0.81259150999999996</v>
      </c>
      <c r="E15" s="11">
        <v>0.73482428</v>
      </c>
      <c r="F15" s="11">
        <v>0.73926868000000001</v>
      </c>
      <c r="G15" s="11">
        <v>0.80502216000000004</v>
      </c>
      <c r="H15" s="11">
        <v>0.79341317</v>
      </c>
      <c r="I15" s="11">
        <v>0.78947367999999996</v>
      </c>
      <c r="J15" s="11">
        <v>0.74803149999999996</v>
      </c>
      <c r="K15" s="11">
        <v>0.80118694000000001</v>
      </c>
      <c r="L15" s="11">
        <v>0.82733813</v>
      </c>
      <c r="M15" s="11">
        <v>0.78549849000000005</v>
      </c>
      <c r="N15" s="11">
        <v>0.74803149999999996</v>
      </c>
      <c r="O15" s="11">
        <v>0.77335374999999995</v>
      </c>
      <c r="P15" s="11">
        <v>0.74367088999999997</v>
      </c>
      <c r="Q15" s="11">
        <v>0.73926868000000001</v>
      </c>
      <c r="R15" s="11">
        <v>0.70247934000000001</v>
      </c>
      <c r="S15" s="11">
        <v>0.70723683999999998</v>
      </c>
    </row>
    <row r="16" spans="1:19" x14ac:dyDescent="0.25">
      <c r="A16" s="9" t="s">
        <v>32</v>
      </c>
      <c r="B16" s="11">
        <v>0.74367088999999997</v>
      </c>
      <c r="C16" s="11">
        <v>0.69767442000000002</v>
      </c>
      <c r="D16" s="11">
        <v>0.79341317</v>
      </c>
      <c r="E16" s="11">
        <v>0.78148709999999999</v>
      </c>
      <c r="F16" s="11">
        <v>0.79341317</v>
      </c>
      <c r="G16" s="11">
        <v>0.70247934000000001</v>
      </c>
      <c r="H16" s="11">
        <v>0.80118694000000001</v>
      </c>
      <c r="I16" s="11">
        <v>0.78947367999999996</v>
      </c>
      <c r="J16" s="11">
        <v>0.79731744000000004</v>
      </c>
      <c r="K16" s="11">
        <v>0.80118694000000001</v>
      </c>
      <c r="L16" s="11">
        <v>0.75663027000000005</v>
      </c>
      <c r="M16" s="11">
        <v>0.79341317</v>
      </c>
      <c r="N16" s="11">
        <v>0.76923076999999995</v>
      </c>
      <c r="O16" s="11">
        <v>0.76506954999999999</v>
      </c>
      <c r="P16" s="11">
        <v>0.70723683999999998</v>
      </c>
      <c r="Q16" s="11">
        <v>0.70247934000000001</v>
      </c>
      <c r="R16" s="11">
        <v>0.70723683999999998</v>
      </c>
      <c r="S16" s="11">
        <v>0.74367088999999997</v>
      </c>
    </row>
    <row r="17" spans="1:19" x14ac:dyDescent="0.25">
      <c r="A17" s="9" t="s">
        <v>33</v>
      </c>
      <c r="B17" s="11">
        <v>0.70247934000000001</v>
      </c>
      <c r="C17" s="11">
        <v>0.68791946000000004</v>
      </c>
      <c r="D17" s="11">
        <v>0.80118694000000001</v>
      </c>
      <c r="E17" s="11">
        <v>0.77335374999999995</v>
      </c>
      <c r="F17" s="11">
        <v>0.76086957</v>
      </c>
      <c r="G17" s="11">
        <v>0.78947367999999996</v>
      </c>
      <c r="H17" s="11">
        <v>0.82369941999999996</v>
      </c>
      <c r="I17" s="11">
        <v>0.76923076999999995</v>
      </c>
      <c r="J17" s="11">
        <v>0.74803149999999996</v>
      </c>
      <c r="K17" s="11">
        <v>0.81632652999999999</v>
      </c>
      <c r="L17" s="11">
        <v>0.74367088999999997</v>
      </c>
      <c r="M17" s="11">
        <v>0.80502216000000004</v>
      </c>
      <c r="N17" s="11">
        <v>0.82002903000000005</v>
      </c>
      <c r="O17" s="11">
        <v>0.73926868000000001</v>
      </c>
      <c r="P17" s="11">
        <v>0.74367088999999997</v>
      </c>
      <c r="Q17" s="11">
        <v>0.73926868000000001</v>
      </c>
      <c r="R17" s="11">
        <v>0.66780821999999995</v>
      </c>
      <c r="S17" s="11">
        <v>0.70247934000000001</v>
      </c>
    </row>
    <row r="18" spans="1:19" x14ac:dyDescent="0.25">
      <c r="A18" s="9" t="s">
        <v>34</v>
      </c>
      <c r="B18" s="11">
        <v>0.69282136999999999</v>
      </c>
      <c r="C18" s="11">
        <v>0.67796610000000002</v>
      </c>
      <c r="D18" s="11">
        <v>0.77335374999999995</v>
      </c>
      <c r="E18" s="11">
        <v>0.75663027000000005</v>
      </c>
      <c r="F18" s="11">
        <v>0.77335374999999995</v>
      </c>
      <c r="G18" s="11">
        <v>0.77335374999999995</v>
      </c>
      <c r="H18" s="11">
        <v>0.78148709999999999</v>
      </c>
      <c r="I18" s="11">
        <v>0.79341317</v>
      </c>
      <c r="J18" s="11">
        <v>0.76923076999999995</v>
      </c>
      <c r="K18" s="11">
        <v>0.75663027000000005</v>
      </c>
      <c r="L18" s="11">
        <v>0.78549849000000005</v>
      </c>
      <c r="M18" s="11">
        <v>0.81259150999999996</v>
      </c>
      <c r="N18" s="11">
        <v>0.72123177000000005</v>
      </c>
      <c r="O18" s="11">
        <v>0.78947367999999996</v>
      </c>
      <c r="P18" s="11">
        <v>0.73033707999999997</v>
      </c>
      <c r="Q18" s="11">
        <v>0.69767442000000002</v>
      </c>
      <c r="R18" s="11">
        <v>0.71194763000000005</v>
      </c>
      <c r="S18" s="11">
        <v>0.72123177000000005</v>
      </c>
    </row>
    <row r="19" spans="1:19" x14ac:dyDescent="0.25">
      <c r="A19" s="9" t="s">
        <v>35</v>
      </c>
      <c r="B19" s="11">
        <v>0.73926868000000001</v>
      </c>
      <c r="C19" s="11">
        <v>0.72580644999999999</v>
      </c>
      <c r="D19" s="11">
        <v>0.76086957</v>
      </c>
      <c r="E19" s="11">
        <v>0.76506954999999999</v>
      </c>
      <c r="F19" s="11">
        <v>0.79731744000000004</v>
      </c>
      <c r="G19" s="11">
        <v>0.77743901999999998</v>
      </c>
      <c r="H19" s="11">
        <v>0.78549849000000005</v>
      </c>
      <c r="I19" s="11">
        <v>0.81259150999999996</v>
      </c>
      <c r="J19" s="11">
        <v>0.74367088999999997</v>
      </c>
      <c r="K19" s="11">
        <v>0.75235110000000005</v>
      </c>
      <c r="L19" s="11">
        <v>0.79341317</v>
      </c>
      <c r="M19" s="11">
        <v>0.74367088999999997</v>
      </c>
      <c r="N19" s="11">
        <v>0.76506954999999999</v>
      </c>
      <c r="O19" s="11">
        <v>0.76506954999999999</v>
      </c>
      <c r="P19" s="11">
        <v>0.71661238000000005</v>
      </c>
      <c r="Q19" s="11">
        <v>0.70247934000000001</v>
      </c>
      <c r="R19" s="11">
        <v>0.72580644999999999</v>
      </c>
      <c r="S19" s="11">
        <v>0.69282136999999999</v>
      </c>
    </row>
    <row r="20" spans="1:19" x14ac:dyDescent="0.25">
      <c r="A20" s="9" t="s">
        <v>36</v>
      </c>
      <c r="B20" s="11">
        <v>0.70723683999999998</v>
      </c>
      <c r="C20" s="11">
        <v>0.68791946000000004</v>
      </c>
      <c r="D20" s="11">
        <v>0.76086957</v>
      </c>
      <c r="E20" s="11">
        <v>0.75663027000000005</v>
      </c>
      <c r="F20" s="11">
        <v>0.75663027000000005</v>
      </c>
      <c r="G20" s="11">
        <v>0.77335374999999995</v>
      </c>
      <c r="H20" s="11">
        <v>0.77335374999999995</v>
      </c>
      <c r="I20" s="11">
        <v>0.82002903000000005</v>
      </c>
      <c r="J20" s="11">
        <v>0.76923076999999995</v>
      </c>
      <c r="K20" s="11">
        <v>0.80882352999999996</v>
      </c>
      <c r="L20" s="11">
        <v>0.77743901999999998</v>
      </c>
      <c r="M20" s="11">
        <v>0.83452210999999998</v>
      </c>
      <c r="N20" s="11">
        <v>0.79341317</v>
      </c>
      <c r="O20" s="11">
        <v>0.79731744000000004</v>
      </c>
      <c r="P20" s="11">
        <v>0.73033707999999997</v>
      </c>
      <c r="Q20" s="11">
        <v>0.71661238000000005</v>
      </c>
      <c r="R20" s="11">
        <v>0.74803149999999996</v>
      </c>
      <c r="S20" s="11">
        <v>0.72580644999999999</v>
      </c>
    </row>
    <row r="21" spans="1:19" x14ac:dyDescent="0.25">
      <c r="A21" s="9" t="s">
        <v>37</v>
      </c>
      <c r="B21" s="11">
        <v>0.71661238000000005</v>
      </c>
      <c r="C21" s="11">
        <v>0.73033707999999997</v>
      </c>
      <c r="D21" s="11">
        <v>0.80118694000000001</v>
      </c>
      <c r="E21" s="11">
        <v>0.78549849000000005</v>
      </c>
      <c r="F21" s="11">
        <v>0.79341317</v>
      </c>
      <c r="G21" s="11">
        <v>0.82733813</v>
      </c>
      <c r="H21" s="11">
        <v>0.78947367999999996</v>
      </c>
      <c r="I21" s="11">
        <v>0.78549849000000005</v>
      </c>
      <c r="J21" s="11">
        <v>0.79341317</v>
      </c>
      <c r="K21" s="11">
        <v>0.78947367999999996</v>
      </c>
      <c r="L21" s="11">
        <v>0.76086957</v>
      </c>
      <c r="M21" s="11">
        <v>0.79731744000000004</v>
      </c>
      <c r="N21" s="11">
        <v>0.75235110000000005</v>
      </c>
      <c r="O21" s="11">
        <v>0.73482428</v>
      </c>
      <c r="P21" s="11">
        <v>0.74803149999999996</v>
      </c>
      <c r="Q21" s="11">
        <v>0.70723683999999998</v>
      </c>
      <c r="R21" s="11">
        <v>0.72123177000000005</v>
      </c>
      <c r="S21" s="11">
        <v>0.74367088999999997</v>
      </c>
    </row>
    <row r="22" spans="1:19" x14ac:dyDescent="0.25">
      <c r="A22" s="9" t="s">
        <v>38</v>
      </c>
      <c r="B22" s="11">
        <v>0.73482428</v>
      </c>
      <c r="C22" s="11">
        <v>0.70247934000000001</v>
      </c>
      <c r="D22" s="11">
        <v>0.78947367999999996</v>
      </c>
      <c r="E22" s="11">
        <v>0.74803149999999996</v>
      </c>
      <c r="F22" s="11">
        <v>0.73926868000000001</v>
      </c>
      <c r="G22" s="11">
        <v>0.78148709999999999</v>
      </c>
      <c r="H22" s="11">
        <v>0.76506954999999999</v>
      </c>
      <c r="I22" s="11">
        <v>0.80502216000000004</v>
      </c>
      <c r="J22" s="11">
        <v>0.75663027000000005</v>
      </c>
      <c r="K22" s="11">
        <v>0.78148709999999999</v>
      </c>
      <c r="L22" s="11">
        <v>0.76506954999999999</v>
      </c>
      <c r="M22" s="11">
        <v>0.79341317</v>
      </c>
      <c r="N22" s="11">
        <v>0.74803149999999996</v>
      </c>
      <c r="O22" s="11">
        <v>0.77743901999999998</v>
      </c>
      <c r="P22" s="11">
        <v>0.76506954999999999</v>
      </c>
      <c r="Q22" s="11">
        <v>0.73482428</v>
      </c>
      <c r="R22" s="11">
        <v>0.74803149999999996</v>
      </c>
      <c r="S22" s="11">
        <v>0.73033707999999997</v>
      </c>
    </row>
    <row r="23" spans="1:19" x14ac:dyDescent="0.25">
      <c r="A23" s="9" t="s">
        <v>39</v>
      </c>
      <c r="B23" s="11">
        <v>0.71661238000000005</v>
      </c>
      <c r="C23" s="11">
        <v>0.75663027000000005</v>
      </c>
      <c r="D23" s="11">
        <v>0.75663027000000005</v>
      </c>
      <c r="E23" s="11">
        <v>0.75663027000000005</v>
      </c>
      <c r="F23" s="11">
        <v>0.80882352999999996</v>
      </c>
      <c r="G23" s="11">
        <v>0.80882352999999996</v>
      </c>
      <c r="H23" s="11">
        <v>0.78148709999999999</v>
      </c>
      <c r="I23" s="11">
        <v>0.80502216000000004</v>
      </c>
      <c r="J23" s="11">
        <v>0.76506954999999999</v>
      </c>
      <c r="K23" s="11">
        <v>0.75235110000000005</v>
      </c>
      <c r="L23" s="11">
        <v>0.77335374999999995</v>
      </c>
      <c r="M23" s="11">
        <v>0.78549849000000005</v>
      </c>
      <c r="N23" s="11">
        <v>0.78549849000000005</v>
      </c>
      <c r="O23" s="11">
        <v>0.74803149999999996</v>
      </c>
      <c r="P23" s="11">
        <v>0.73033707999999997</v>
      </c>
      <c r="Q23" s="11">
        <v>0.78549849000000005</v>
      </c>
      <c r="R23" s="11">
        <v>0.68791946000000004</v>
      </c>
      <c r="S23" s="11">
        <v>0.65217391000000002</v>
      </c>
    </row>
    <row r="24" spans="1:19" x14ac:dyDescent="0.25">
      <c r="A24" s="9" t="s">
        <v>40</v>
      </c>
      <c r="B24" s="11">
        <v>0.72123177000000005</v>
      </c>
      <c r="C24" s="11">
        <v>0.67796610000000002</v>
      </c>
      <c r="D24" s="11">
        <v>0.76086957</v>
      </c>
      <c r="E24" s="11">
        <v>0.75235110000000005</v>
      </c>
      <c r="F24" s="11">
        <v>0.73033707999999997</v>
      </c>
      <c r="G24" s="11">
        <v>0.76506954999999999</v>
      </c>
      <c r="H24" s="11">
        <v>0.76923076999999995</v>
      </c>
      <c r="I24" s="11">
        <v>0.83094555999999997</v>
      </c>
      <c r="J24" s="11">
        <v>0.70247934000000001</v>
      </c>
      <c r="K24" s="11">
        <v>0.72580644999999999</v>
      </c>
      <c r="L24" s="11">
        <v>0.78947367999999996</v>
      </c>
      <c r="M24" s="11">
        <v>0.77335374999999995</v>
      </c>
      <c r="N24" s="11">
        <v>0.78549849000000005</v>
      </c>
      <c r="O24" s="11">
        <v>0.78148709999999999</v>
      </c>
      <c r="P24" s="11">
        <v>0.68791946000000004</v>
      </c>
      <c r="Q24" s="11">
        <v>0.71661238000000005</v>
      </c>
      <c r="R24" s="11">
        <v>0.71194763000000005</v>
      </c>
      <c r="S24" s="11">
        <v>0.67291312000000003</v>
      </c>
    </row>
    <row r="25" spans="1:19" x14ac:dyDescent="0.25">
      <c r="A25" s="9" t="s">
        <v>41</v>
      </c>
      <c r="B25" s="11">
        <v>0.73482428</v>
      </c>
      <c r="C25" s="11">
        <v>0.73926868000000001</v>
      </c>
      <c r="D25" s="11">
        <v>0.79341317</v>
      </c>
      <c r="E25" s="11">
        <v>0.77335374999999995</v>
      </c>
      <c r="F25" s="11">
        <v>0.80882352999999996</v>
      </c>
      <c r="G25" s="11">
        <v>0.73926868000000001</v>
      </c>
      <c r="H25" s="11">
        <v>0.82369941999999996</v>
      </c>
      <c r="I25" s="11">
        <v>0.77335374999999995</v>
      </c>
      <c r="J25" s="11">
        <v>0.78148709999999999</v>
      </c>
      <c r="K25" s="11">
        <v>0.78947367999999996</v>
      </c>
      <c r="L25" s="11">
        <v>0.78148709999999999</v>
      </c>
      <c r="M25" s="11">
        <v>0.76506954999999999</v>
      </c>
      <c r="N25" s="11">
        <v>0.73033707999999997</v>
      </c>
      <c r="O25" s="11">
        <v>0.79341317</v>
      </c>
      <c r="P25" s="11">
        <v>0.76506954999999999</v>
      </c>
      <c r="Q25" s="11">
        <v>0.74803149999999996</v>
      </c>
      <c r="R25" s="11">
        <v>0.67796610000000002</v>
      </c>
      <c r="S25" s="11">
        <v>0.66265059999999998</v>
      </c>
    </row>
    <row r="26" spans="1:19" x14ac:dyDescent="0.25">
      <c r="A26" s="9" t="s">
        <v>42</v>
      </c>
      <c r="B26" s="11">
        <v>0.72580644999999999</v>
      </c>
      <c r="C26" s="11">
        <v>0.67291312000000003</v>
      </c>
      <c r="D26" s="11">
        <v>0.78148709999999999</v>
      </c>
      <c r="E26" s="11">
        <v>0.72580644999999999</v>
      </c>
      <c r="F26" s="11">
        <v>0.81632652999999999</v>
      </c>
      <c r="G26" s="11">
        <v>0.82369941999999996</v>
      </c>
      <c r="H26" s="11">
        <v>0.79341317</v>
      </c>
      <c r="I26" s="11">
        <v>0.80502216000000004</v>
      </c>
      <c r="J26" s="11">
        <v>0.78549849000000005</v>
      </c>
      <c r="K26" s="11">
        <v>0.83452210999999998</v>
      </c>
      <c r="L26" s="11">
        <v>0.77335374999999995</v>
      </c>
      <c r="M26" s="11">
        <v>0.78947367999999996</v>
      </c>
      <c r="N26" s="11">
        <v>0.80502216000000004</v>
      </c>
      <c r="O26" s="11">
        <v>0.78148709999999999</v>
      </c>
      <c r="P26" s="11">
        <v>0.76506954999999999</v>
      </c>
      <c r="Q26" s="11">
        <v>0.75663027000000005</v>
      </c>
      <c r="R26" s="11">
        <v>0.68791946000000004</v>
      </c>
      <c r="S26" s="11">
        <v>0.73482428</v>
      </c>
    </row>
    <row r="27" spans="1:19" x14ac:dyDescent="0.25">
      <c r="A27" s="9" t="s">
        <v>43</v>
      </c>
      <c r="B27" s="11">
        <v>0.72123177000000005</v>
      </c>
      <c r="C27" s="11">
        <v>0.70723683999999998</v>
      </c>
      <c r="D27" s="11">
        <v>0.75235110000000005</v>
      </c>
      <c r="E27" s="11">
        <v>0.79341317</v>
      </c>
      <c r="F27" s="11">
        <v>0.78549849000000005</v>
      </c>
      <c r="G27" s="11">
        <v>0.76086957</v>
      </c>
      <c r="H27" s="11">
        <v>0.73033707999999997</v>
      </c>
      <c r="I27" s="11">
        <v>0.81632652999999999</v>
      </c>
      <c r="J27" s="11">
        <v>0.73482428</v>
      </c>
      <c r="K27" s="11">
        <v>0.80502216000000004</v>
      </c>
      <c r="L27" s="11">
        <v>0.76506954999999999</v>
      </c>
      <c r="M27" s="11">
        <v>0.77743901999999998</v>
      </c>
      <c r="N27" s="11">
        <v>0.78549849000000005</v>
      </c>
      <c r="O27" s="11">
        <v>0.75235110000000005</v>
      </c>
      <c r="P27" s="11">
        <v>0.69767442000000002</v>
      </c>
      <c r="Q27" s="11">
        <v>0.71194763000000005</v>
      </c>
      <c r="R27" s="11">
        <v>0.69767442000000002</v>
      </c>
      <c r="S27" s="11">
        <v>0.71194763000000005</v>
      </c>
    </row>
    <row r="28" spans="1:19" x14ac:dyDescent="0.25">
      <c r="A28" s="9" t="s">
        <v>44</v>
      </c>
      <c r="B28" s="11">
        <v>0.71661238000000005</v>
      </c>
      <c r="C28" s="11">
        <v>0.68296796000000004</v>
      </c>
      <c r="D28" s="11">
        <v>0.80882352999999996</v>
      </c>
      <c r="E28" s="11">
        <v>0.76086957</v>
      </c>
      <c r="F28" s="11">
        <v>0.74803149999999996</v>
      </c>
      <c r="G28" s="11">
        <v>0.80502216000000004</v>
      </c>
      <c r="H28" s="11">
        <v>0.83452210999999998</v>
      </c>
      <c r="I28" s="11">
        <v>0.78947367999999996</v>
      </c>
      <c r="J28" s="11">
        <v>0.77743901999999998</v>
      </c>
      <c r="K28" s="11">
        <v>0.83094555999999997</v>
      </c>
      <c r="L28" s="11">
        <v>0.76923076999999995</v>
      </c>
      <c r="M28" s="11">
        <v>0.78947367999999996</v>
      </c>
      <c r="N28" s="11">
        <v>0.78549849000000005</v>
      </c>
      <c r="O28" s="11">
        <v>0.75663027000000005</v>
      </c>
      <c r="P28" s="11">
        <v>0.66265059999999998</v>
      </c>
      <c r="Q28" s="11">
        <v>0.70723683999999998</v>
      </c>
      <c r="R28" s="11">
        <v>0.70247934000000001</v>
      </c>
      <c r="S28" s="11">
        <v>0.74803149999999996</v>
      </c>
    </row>
    <row r="29" spans="1:19" x14ac:dyDescent="0.25">
      <c r="A29" s="9" t="s">
        <v>45</v>
      </c>
      <c r="B29" s="11">
        <v>0.73482428</v>
      </c>
      <c r="C29" s="11">
        <v>0.71194763000000005</v>
      </c>
      <c r="D29" s="11">
        <v>0.78148709999999999</v>
      </c>
      <c r="E29" s="11">
        <v>0.78947367999999996</v>
      </c>
      <c r="F29" s="11">
        <v>0.71661238000000005</v>
      </c>
      <c r="G29" s="11">
        <v>0.80502216000000004</v>
      </c>
      <c r="H29" s="11">
        <v>0.76923076999999995</v>
      </c>
      <c r="I29" s="11">
        <v>0.80882352999999996</v>
      </c>
      <c r="J29" s="11">
        <v>0.77335374999999995</v>
      </c>
      <c r="K29" s="11">
        <v>0.77335374999999995</v>
      </c>
      <c r="L29" s="11">
        <v>0.81259150999999996</v>
      </c>
      <c r="M29" s="11">
        <v>0.80502216000000004</v>
      </c>
      <c r="N29" s="11">
        <v>0.76923076999999995</v>
      </c>
      <c r="O29" s="11">
        <v>0.73033707999999997</v>
      </c>
      <c r="P29" s="11">
        <v>0.73926868000000001</v>
      </c>
      <c r="Q29" s="11">
        <v>0.74367088999999997</v>
      </c>
      <c r="R29" s="11">
        <v>0.70247934000000001</v>
      </c>
      <c r="S29" s="11">
        <v>0.69767442000000002</v>
      </c>
    </row>
    <row r="30" spans="1:19" x14ac:dyDescent="0.25">
      <c r="A30" s="9" t="s">
        <v>46</v>
      </c>
      <c r="B30" s="11">
        <v>0.74803149999999996</v>
      </c>
      <c r="C30" s="11">
        <v>0.70247934000000001</v>
      </c>
      <c r="D30" s="11">
        <v>0.80502216000000004</v>
      </c>
      <c r="E30" s="11">
        <v>0.76086957</v>
      </c>
      <c r="F30" s="11">
        <v>0.72580644999999999</v>
      </c>
      <c r="G30" s="11">
        <v>0.76086957</v>
      </c>
      <c r="H30" s="11">
        <v>0.78549849000000005</v>
      </c>
      <c r="I30" s="11">
        <v>0.80118694000000001</v>
      </c>
      <c r="J30" s="11">
        <v>0.75235110000000005</v>
      </c>
      <c r="K30" s="11">
        <v>0.75235110000000005</v>
      </c>
      <c r="L30" s="11">
        <v>0.77335374999999995</v>
      </c>
      <c r="M30" s="11">
        <v>0.75663027000000005</v>
      </c>
      <c r="N30" s="11">
        <v>0.81632652999999999</v>
      </c>
      <c r="O30" s="11">
        <v>0.76506954999999999</v>
      </c>
      <c r="P30" s="11">
        <v>0.75663027000000005</v>
      </c>
      <c r="Q30" s="11">
        <v>0.70247934000000001</v>
      </c>
      <c r="R30" s="11">
        <v>0.68791946000000004</v>
      </c>
      <c r="S30" s="11">
        <v>0.75663027000000005</v>
      </c>
    </row>
    <row r="31" spans="1:19" x14ac:dyDescent="0.25">
      <c r="A31" s="9" t="s">
        <v>47</v>
      </c>
      <c r="B31" s="11">
        <v>0.73482428</v>
      </c>
      <c r="C31" s="11">
        <v>0.73926868000000001</v>
      </c>
      <c r="D31" s="11">
        <v>0.79731744000000004</v>
      </c>
      <c r="E31" s="11">
        <v>0.76086957</v>
      </c>
      <c r="F31" s="11">
        <v>0.80118694000000001</v>
      </c>
      <c r="G31" s="11">
        <v>0.75235110000000005</v>
      </c>
      <c r="H31" s="11">
        <v>0.78549849000000005</v>
      </c>
      <c r="I31" s="11">
        <v>0.76506954999999999</v>
      </c>
      <c r="J31" s="11">
        <v>0.79731744000000004</v>
      </c>
      <c r="K31" s="11">
        <v>0.81259150999999996</v>
      </c>
      <c r="L31" s="11">
        <v>0.76506954999999999</v>
      </c>
      <c r="M31" s="11">
        <v>0.78148709999999999</v>
      </c>
      <c r="N31" s="11">
        <v>0.74367088999999997</v>
      </c>
      <c r="O31" s="11">
        <v>0.74367088999999997</v>
      </c>
      <c r="P31" s="11">
        <v>0.77743901999999998</v>
      </c>
      <c r="Q31" s="11">
        <v>0.71194763000000005</v>
      </c>
      <c r="R31" s="11">
        <v>0.70247934000000001</v>
      </c>
      <c r="S31" s="11">
        <v>0.64147626999999996</v>
      </c>
    </row>
    <row r="32" spans="1:19" x14ac:dyDescent="0.25">
      <c r="A32" s="9" t="s">
        <v>48</v>
      </c>
      <c r="B32" s="11">
        <f>AVERAGE(B2:B31)</f>
        <v>0.72041527833333363</v>
      </c>
      <c r="C32" s="11">
        <f t="shared" ref="C32:S32" si="0">AVERAGE(C2:C31)</f>
        <v>0.7098097143333334</v>
      </c>
      <c r="D32" s="11">
        <f t="shared" si="0"/>
        <v>0.78428540533333346</v>
      </c>
      <c r="E32" s="11">
        <f t="shared" si="0"/>
        <v>0.76020369599999993</v>
      </c>
      <c r="F32" s="11">
        <f t="shared" si="0"/>
        <v>0.76795398400000014</v>
      </c>
      <c r="G32" s="11">
        <f t="shared" si="0"/>
        <v>0.77799258866666665</v>
      </c>
      <c r="H32" s="11">
        <f t="shared" si="0"/>
        <v>0.79124732133333331</v>
      </c>
      <c r="I32" s="11">
        <f t="shared" si="0"/>
        <v>0.79457947000000018</v>
      </c>
      <c r="J32" s="11">
        <f t="shared" si="0"/>
        <v>0.77384915199999993</v>
      </c>
      <c r="K32" s="11">
        <f t="shared" si="0"/>
        <v>0.79484398699999992</v>
      </c>
      <c r="L32" s="11">
        <f t="shared" si="0"/>
        <v>0.77593136233333315</v>
      </c>
      <c r="M32" s="11">
        <f t="shared" si="0"/>
        <v>0.78495786233333331</v>
      </c>
      <c r="N32" s="11">
        <f t="shared" si="0"/>
        <v>0.7723276206666666</v>
      </c>
      <c r="O32" s="11">
        <f t="shared" si="0"/>
        <v>0.76572093933333329</v>
      </c>
      <c r="P32" s="11">
        <f t="shared" si="0"/>
        <v>0.7361108616666665</v>
      </c>
      <c r="Q32" s="11">
        <f t="shared" si="0"/>
        <v>0.72260348233333349</v>
      </c>
      <c r="R32" s="11">
        <f t="shared" si="0"/>
        <v>0.71171809599999991</v>
      </c>
      <c r="S32" s="11">
        <f t="shared" si="0"/>
        <v>0.70870415533333331</v>
      </c>
    </row>
    <row r="33" spans="1:19" x14ac:dyDescent="0.25">
      <c r="A33" s="9" t="s">
        <v>49</v>
      </c>
      <c r="B33" s="10">
        <f>_xlfn.STDEV.P(B2:B31)</f>
        <v>1.8552073096828298E-2</v>
      </c>
      <c r="C33" s="10">
        <f t="shared" ref="C33:S33" si="1">_xlfn.STDEV.P(C2:C31)</f>
        <v>2.6207205433000241E-2</v>
      </c>
      <c r="D33" s="10">
        <f t="shared" si="1"/>
        <v>2.2151000735865897E-2</v>
      </c>
      <c r="E33" s="10">
        <f t="shared" si="1"/>
        <v>2.470688287733246E-2</v>
      </c>
      <c r="F33" s="10">
        <f t="shared" si="1"/>
        <v>2.9918659233332808E-2</v>
      </c>
      <c r="G33" s="10">
        <f t="shared" si="1"/>
        <v>3.1015772172380041E-2</v>
      </c>
      <c r="H33" s="10">
        <f t="shared" si="1"/>
        <v>2.2859109571787307E-2</v>
      </c>
      <c r="I33" s="10">
        <f t="shared" si="1"/>
        <v>1.8712321751020104E-2</v>
      </c>
      <c r="J33" s="10">
        <f t="shared" si="1"/>
        <v>2.575035128377998E-2</v>
      </c>
      <c r="K33" s="10">
        <f t="shared" si="1"/>
        <v>2.6450332479047475E-2</v>
      </c>
      <c r="L33" s="10">
        <f t="shared" si="1"/>
        <v>2.4630312754744539E-2</v>
      </c>
      <c r="M33" s="10">
        <f t="shared" si="1"/>
        <v>2.1839272273034446E-2</v>
      </c>
      <c r="N33" s="10">
        <f t="shared" si="1"/>
        <v>2.5968213828382058E-2</v>
      </c>
      <c r="O33" s="10">
        <f t="shared" si="1"/>
        <v>2.3397576243269859E-2</v>
      </c>
      <c r="P33" s="10">
        <f t="shared" si="1"/>
        <v>3.2389676676189187E-2</v>
      </c>
      <c r="Q33" s="10">
        <f t="shared" si="1"/>
        <v>2.6860304831016677E-2</v>
      </c>
      <c r="R33" s="10">
        <f t="shared" si="1"/>
        <v>2.2769268953862432E-2</v>
      </c>
      <c r="S33" s="10">
        <f t="shared" si="1"/>
        <v>2.9508977727262346E-2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summary</vt:lpstr>
      <vt:lpstr>visualisation</vt:lpstr>
      <vt:lpstr>mni_by_4_combined</vt:lpstr>
      <vt:lpstr>mni_by_4_audio</vt:lpstr>
      <vt:lpstr>mni_by_4_video</vt:lpstr>
      <vt:lpstr>tal_by_8_combined</vt:lpstr>
      <vt:lpstr>tal_by_8_audio</vt:lpstr>
      <vt:lpstr>tal_by_8_video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em165153</dc:creator>
  <cp:lastModifiedBy>Anne Wendt</cp:lastModifiedBy>
  <dcterms:created xsi:type="dcterms:W3CDTF">2020-11-18T03:11:56Z</dcterms:created>
  <dcterms:modified xsi:type="dcterms:W3CDTF">2021-01-09T23:57:23Z</dcterms:modified>
</cp:coreProperties>
</file>